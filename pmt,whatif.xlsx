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596508c966fcdfe/Desktop/EXCEL/"/>
    </mc:Choice>
  </mc:AlternateContent>
  <xr:revisionPtr revIDLastSave="100" documentId="8_{69A7088A-2FBD-46E9-8D35-0EF92C4F774A}" xr6:coauthVersionLast="47" xr6:coauthVersionMax="47" xr10:uidLastSave="{10837A5A-087D-436C-BBBA-629A1CF64EF8}"/>
  <bookViews>
    <workbookView xWindow="-108" yWindow="-108" windowWidth="23256" windowHeight="12456" xr2:uid="{00000000-000D-0000-FFFF-FFFF00000000}"/>
  </bookViews>
  <sheets>
    <sheet name="PMT" sheetId="1" r:id="rId1"/>
    <sheet name="Goal seek" sheetId="2" r:id="rId2"/>
    <sheet name="Scenario Summary 2" sheetId="6" r:id="rId3"/>
    <sheet name="scenario manager" sheetId="3" r:id="rId4"/>
    <sheet name="Data tables" sheetId="4" r:id="rId5"/>
  </sheets>
  <definedNames>
    <definedName name="marketing">'scenario manager'!$B$4</definedName>
    <definedName name="miscellaneous">'scenario manager'!$B$7</definedName>
    <definedName name="Monthly_Sales">'scenario manager'!$B$1</definedName>
    <definedName name="rent">'scenario manager'!$B$6</definedName>
    <definedName name="salaries">'scenario manager'!$B$5</definedName>
    <definedName name="Total_Costs">'scenario manager'!$B$9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2" i="2"/>
  <c r="C2" i="2" s="1"/>
  <c r="B40" i="1"/>
  <c r="B41" i="1" s="1"/>
  <c r="B42" i="1" s="1"/>
  <c r="B23" i="1"/>
  <c r="B24" i="1" s="1"/>
  <c r="B25" i="1" s="1"/>
  <c r="B8" i="1"/>
  <c r="B7" i="1"/>
  <c r="B6" i="1"/>
  <c r="B4" i="4"/>
  <c r="G9" i="4" s="1"/>
  <c r="B9" i="3"/>
  <c r="B11" i="3" s="1"/>
  <c r="D19" i="4" l="1"/>
  <c r="C12" i="2"/>
</calcChain>
</file>

<file path=xl/sharedStrings.xml><?xml version="1.0" encoding="utf-8"?>
<sst xmlns="http://schemas.openxmlformats.org/spreadsheetml/2006/main" count="70" uniqueCount="55">
  <si>
    <t>Loan Payment</t>
  </si>
  <si>
    <t>Rate</t>
  </si>
  <si>
    <t>Term (Months)</t>
  </si>
  <si>
    <t>Loan Amount</t>
  </si>
  <si>
    <t>Payment</t>
  </si>
  <si>
    <t>Total</t>
  </si>
  <si>
    <t>IN</t>
  </si>
  <si>
    <t>Salary</t>
  </si>
  <si>
    <t>Hike</t>
  </si>
  <si>
    <t>New Salary</t>
  </si>
  <si>
    <t>Budget</t>
  </si>
  <si>
    <t>Increase %</t>
  </si>
  <si>
    <t>Monthly Sales</t>
  </si>
  <si>
    <t>Monthly Costs</t>
  </si>
  <si>
    <t>Marketing</t>
  </si>
  <si>
    <t>Salaries</t>
  </si>
  <si>
    <t>Office Rent</t>
  </si>
  <si>
    <t>Miscellaneous</t>
  </si>
  <si>
    <t>Total Costs</t>
  </si>
  <si>
    <t>Profit</t>
  </si>
  <si>
    <t>Interest Rate (yearly)</t>
  </si>
  <si>
    <t>Term (months)</t>
  </si>
  <si>
    <t>Monthly Payment</t>
  </si>
  <si>
    <t>PMT used for intrest calculation</t>
  </si>
  <si>
    <t>#defaultly value in negative because the money id debited</t>
  </si>
  <si>
    <t># if u want to values in to positive add -</t>
  </si>
  <si>
    <t>if im eligible to pay 600 within how many months can I close this loan?</t>
  </si>
  <si>
    <t>iam paying 600, but I want to pay it for 60 months how much more would I be eligible for?</t>
  </si>
  <si>
    <t>STEPS = data - Whatif analysi- Goal seek</t>
  </si>
  <si>
    <t>GOAL SEEK</t>
  </si>
  <si>
    <t>sum of new salary change by goal seek</t>
  </si>
  <si>
    <t>data &gt; Goalseek &gt; whatif analysis &gt; Goal seek &gt; setvalue=new salary sum &gt; to value=500000 &gt; by changing cell=intest rate</t>
  </si>
  <si>
    <t>Monthly_Sales</t>
  </si>
  <si>
    <t>marketing</t>
  </si>
  <si>
    <t>salaries</t>
  </si>
  <si>
    <t>rent</t>
  </si>
  <si>
    <t>miscellaneous</t>
  </si>
  <si>
    <t>orginal</t>
  </si>
  <si>
    <t>Created by Abhin Prakash M T on 26-02-2025</t>
  </si>
  <si>
    <t>High_sales</t>
  </si>
  <si>
    <t>low_sales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</si>
  <si>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</si>
  <si>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</si>
  <si>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</si>
  <si>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</si>
  <si>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</si>
  <si>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</si>
  <si>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</si>
  <si>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make scenarios for comparison</t>
  </si>
  <si>
    <t xml:space="preserve">data &gt; whatif analysis &gt; scenario manager &gt; add senarios </t>
  </si>
  <si>
    <t>Total_Costs</t>
  </si>
  <si>
    <t>$B$11</t>
  </si>
  <si>
    <t>changes of only interest rate</t>
  </si>
  <si>
    <t>calculate emi using verity amount and intrest rate</t>
  </si>
  <si>
    <t>whatif analysis &gt; data frame &gt; Raw input=imtrest ,column input=amount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</si>
</sst>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&quot;₹&quot;\ #,##0"/>
    <numFmt numFmtId="165" formatCode="&quot;$&quot;#,##0"/>
    <numFmt numFmtId="166" formatCode="_(&quot;$&quot;* #,##0.00_);_(&quot;$&quot;* \(#,##0.00\);_(&quot;$&quot;* &quot;-&quot;??_);_(@_)"/>
    <numFmt numFmtId="167" formatCode="&quot;₹&quot;\ #,##0.00"/>
  </numFmts>
  <fonts count="1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0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2"/>
      <color theme="1"/>
      <name val="Calibri"/>
      <family val="2"/>
    </font>
    <font>
      <sz val="16"/>
      <color rgb="FFFF0000"/>
      <name val="Consolas"/>
      <family val="3"/>
    </font>
    <font>
      <sz val="16"/>
      <color rgb="FF000000"/>
      <name val="Consolas"/>
      <family val="3"/>
    </font>
    <font>
      <b/>
      <sz val="16"/>
      <color rgb="FF000000"/>
      <name val="Consolas"/>
      <family val="3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rgb="FF1F4E78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3" borderId="0" xfId="0" applyFont="1" applyFill="1"/>
    <xf numFmtId="10" fontId="1" fillId="3" borderId="0" xfId="0" applyNumberFormat="1" applyFont="1" applyFill="1"/>
    <xf numFmtId="164" fontId="1" fillId="3" borderId="0" xfId="0" applyNumberFormat="1" applyFont="1" applyFill="1"/>
    <xf numFmtId="165" fontId="1" fillId="0" borderId="0" xfId="0" applyNumberFormat="1" applyFont="1"/>
    <xf numFmtId="9" fontId="1" fillId="0" borderId="0" xfId="0" applyNumberFormat="1" applyFont="1"/>
    <xf numFmtId="0" fontId="4" fillId="0" borderId="0" xfId="0" applyFont="1"/>
    <xf numFmtId="167" fontId="5" fillId="2" borderId="1" xfId="0" applyNumberFormat="1" applyFont="1" applyFill="1" applyBorder="1"/>
    <xf numFmtId="0" fontId="6" fillId="0" borderId="0" xfId="0" applyFont="1"/>
    <xf numFmtId="167" fontId="5" fillId="0" borderId="0" xfId="0" applyNumberFormat="1" applyFont="1"/>
    <xf numFmtId="167" fontId="7" fillId="2" borderId="1" xfId="0" applyNumberFormat="1" applyFont="1" applyFill="1" applyBorder="1"/>
    <xf numFmtId="0" fontId="8" fillId="4" borderId="3" xfId="0" applyFont="1" applyFill="1" applyBorder="1"/>
    <xf numFmtId="3" fontId="9" fillId="5" borderId="1" xfId="0" applyNumberFormat="1" applyFont="1" applyFill="1" applyBorder="1"/>
    <xf numFmtId="10" fontId="9" fillId="5" borderId="1" xfId="0" applyNumberFormat="1" applyFont="1" applyFill="1" applyBorder="1"/>
    <xf numFmtId="0" fontId="9" fillId="5" borderId="1" xfId="0" applyFont="1" applyFill="1" applyBorder="1"/>
    <xf numFmtId="167" fontId="10" fillId="5" borderId="1" xfId="0" applyNumberFormat="1" applyFont="1" applyFill="1" applyBorder="1"/>
    <xf numFmtId="8" fontId="1" fillId="6" borderId="2" xfId="0" applyNumberFormat="1" applyFont="1" applyFill="1" applyBorder="1"/>
    <xf numFmtId="8" fontId="1" fillId="6" borderId="0" xfId="0" applyNumberFormat="1" applyFont="1" applyFill="1"/>
    <xf numFmtId="0" fontId="12" fillId="0" borderId="0" xfId="0" applyFont="1"/>
    <xf numFmtId="0" fontId="11" fillId="0" borderId="0" xfId="0" applyFont="1"/>
    <xf numFmtId="165" fontId="3" fillId="8" borderId="5" xfId="0" applyNumberFormat="1" applyFont="1" applyFill="1" applyBorder="1" applyAlignment="1">
      <alignment horizontal="left" vertical="center"/>
    </xf>
    <xf numFmtId="166" fontId="3" fillId="8" borderId="5" xfId="0" applyNumberFormat="1" applyFont="1" applyFill="1" applyBorder="1" applyAlignment="1">
      <alignment horizontal="left" vertical="center"/>
    </xf>
    <xf numFmtId="165" fontId="1" fillId="7" borderId="5" xfId="0" applyNumberFormat="1" applyFont="1" applyFill="1" applyBorder="1"/>
    <xf numFmtId="166" fontId="3" fillId="6" borderId="5" xfId="0" applyNumberFormat="1" applyFont="1" applyFill="1" applyBorder="1" applyAlignment="1">
      <alignment horizontal="left" vertical="center"/>
    </xf>
    <xf numFmtId="165" fontId="1" fillId="6" borderId="5" xfId="0" applyNumberFormat="1" applyFont="1" applyFill="1" applyBorder="1"/>
    <xf numFmtId="0" fontId="13" fillId="0" borderId="0" xfId="0" applyFont="1"/>
    <xf numFmtId="167" fontId="0" fillId="0" borderId="0" xfId="0" applyNumberFormat="1"/>
    <xf numFmtId="0" fontId="14" fillId="9" borderId="4" xfId="0" applyFont="1" applyFill="1" applyBorder="1" applyAlignment="1">
      <alignment horizontal="left"/>
    </xf>
    <xf numFmtId="0" fontId="14" fillId="9" borderId="6" xfId="0" applyFont="1" applyFill="1" applyBorder="1" applyAlignment="1">
      <alignment horizontal="left"/>
    </xf>
    <xf numFmtId="0" fontId="0" fillId="0" borderId="8" xfId="0" applyBorder="1"/>
    <xf numFmtId="0" fontId="15" fillId="10" borderId="0" xfId="0" applyFont="1" applyFill="1" applyAlignment="1">
      <alignment horizontal="left"/>
    </xf>
    <xf numFmtId="0" fontId="16" fillId="10" borderId="8" xfId="0" applyFont="1" applyFill="1" applyBorder="1" applyAlignment="1">
      <alignment horizontal="left"/>
    </xf>
    <xf numFmtId="0" fontId="15" fillId="10" borderId="7" xfId="0" applyFont="1" applyFill="1" applyBorder="1" applyAlignment="1">
      <alignment horizontal="left"/>
    </xf>
    <xf numFmtId="0" fontId="17" fillId="9" borderId="6" xfId="0" applyFont="1" applyFill="1" applyBorder="1" applyAlignment="1">
      <alignment horizontal="right"/>
    </xf>
    <xf numFmtId="0" fontId="17" fillId="9" borderId="4" xfId="0" applyFont="1" applyFill="1" applyBorder="1" applyAlignment="1">
      <alignment horizontal="right"/>
    </xf>
    <xf numFmtId="167" fontId="0" fillId="11" borderId="0" xfId="0" applyNumberFormat="1" applyFill="1"/>
    <xf numFmtId="0" fontId="18" fillId="0" borderId="0" xfId="0" applyFont="1" applyAlignment="1">
      <alignment vertical="top" wrapText="1"/>
    </xf>
    <xf numFmtId="167" fontId="0" fillId="0" borderId="7" xfId="0" applyNumberFormat="1" applyBorder="1"/>
    <xf numFmtId="0" fontId="0" fillId="0" borderId="5" xfId="0" applyBorder="1"/>
    <xf numFmtId="167" fontId="0" fillId="0" borderId="5" xfId="0" applyNumberFormat="1" applyBorder="1"/>
    <xf numFmtId="10" fontId="0" fillId="0" borderId="5" xfId="0" applyNumberFormat="1" applyBorder="1"/>
    <xf numFmtId="10" fontId="0" fillId="12" borderId="5" xfId="0" applyNumberFormat="1" applyFill="1" applyBorder="1"/>
    <xf numFmtId="9" fontId="0" fillId="12" borderId="5" xfId="0" applyNumberFormat="1" applyFill="1" applyBorder="1"/>
    <xf numFmtId="167" fontId="0" fillId="12" borderId="5" xfId="0" applyNumberFormat="1" applyFill="1" applyBorder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72" zoomScaleNormal="72" workbookViewId="0">
      <selection activeCell="B38" sqref="B38"/>
    </sheetView>
  </sheetViews>
  <sheetFormatPr defaultRowHeight="14.4" x14ac:dyDescent="0.3"/>
  <cols>
    <col min="1" max="1" width="22.6640625" bestFit="1" customWidth="1"/>
    <col min="2" max="2" width="17.6640625" bestFit="1" customWidth="1"/>
    <col min="5" max="5" width="31.6640625" customWidth="1"/>
  </cols>
  <sheetData>
    <row r="1" spans="1:5" ht="23.4" x14ac:dyDescent="0.45">
      <c r="A1" s="45" t="s">
        <v>0</v>
      </c>
      <c r="B1" s="46"/>
    </row>
    <row r="2" spans="1:5" ht="23.4" x14ac:dyDescent="0.45">
      <c r="A2" s="1"/>
      <c r="B2" s="1"/>
    </row>
    <row r="3" spans="1:5" ht="23.4" x14ac:dyDescent="0.45">
      <c r="A3" s="2" t="s">
        <v>1</v>
      </c>
      <c r="B3" s="3">
        <v>6.5000000000000002E-2</v>
      </c>
    </row>
    <row r="4" spans="1:5" ht="23.4" x14ac:dyDescent="0.45">
      <c r="A4" s="2" t="s">
        <v>2</v>
      </c>
      <c r="B4" s="2">
        <v>60</v>
      </c>
      <c r="E4" s="19" t="s">
        <v>23</v>
      </c>
    </row>
    <row r="5" spans="1:5" ht="24" thickBot="1" x14ac:dyDescent="0.5">
      <c r="A5" s="2" t="s">
        <v>3</v>
      </c>
      <c r="B5" s="4">
        <v>24000</v>
      </c>
      <c r="E5" t="s">
        <v>24</v>
      </c>
    </row>
    <row r="6" spans="1:5" ht="24" thickBot="1" x14ac:dyDescent="0.5">
      <c r="A6" s="1" t="s">
        <v>4</v>
      </c>
      <c r="B6" s="17">
        <f>PMT(B3/12,B4,-B5)</f>
        <v>469.58755724948497</v>
      </c>
      <c r="E6" t="s">
        <v>25</v>
      </c>
    </row>
    <row r="7" spans="1:5" ht="23.4" x14ac:dyDescent="0.45">
      <c r="A7" s="1" t="s">
        <v>5</v>
      </c>
      <c r="B7" s="18">
        <f>B6*B4</f>
        <v>28175.253434969098</v>
      </c>
    </row>
    <row r="8" spans="1:5" ht="23.4" x14ac:dyDescent="0.45">
      <c r="A8" s="1" t="s">
        <v>6</v>
      </c>
      <c r="B8" s="18">
        <f>B7-B5</f>
        <v>4175.2534349690977</v>
      </c>
    </row>
    <row r="15" spans="1:5" x14ac:dyDescent="0.3">
      <c r="B15" t="s">
        <v>29</v>
      </c>
    </row>
    <row r="18" spans="1:5" x14ac:dyDescent="0.3">
      <c r="A18" t="s">
        <v>26</v>
      </c>
    </row>
    <row r="20" spans="1:5" ht="23.4" x14ac:dyDescent="0.45">
      <c r="A20" s="2" t="s">
        <v>1</v>
      </c>
      <c r="B20" s="3">
        <v>8.5000000000000006E-2</v>
      </c>
      <c r="E20" t="s">
        <v>28</v>
      </c>
    </row>
    <row r="21" spans="1:5" ht="23.4" x14ac:dyDescent="0.45">
      <c r="A21" s="2" t="s">
        <v>2</v>
      </c>
      <c r="B21" s="2">
        <v>49.551776371630702</v>
      </c>
    </row>
    <row r="22" spans="1:5" ht="24" thickBot="1" x14ac:dyDescent="0.5">
      <c r="A22" s="2" t="s">
        <v>3</v>
      </c>
      <c r="B22" s="4">
        <v>25000</v>
      </c>
    </row>
    <row r="23" spans="1:5" ht="24" thickBot="1" x14ac:dyDescent="0.5">
      <c r="A23" s="1" t="s">
        <v>4</v>
      </c>
      <c r="B23" s="17">
        <f>PMT(B20/12,B21,-B22)</f>
        <v>600.00001204958346</v>
      </c>
    </row>
    <row r="24" spans="1:5" ht="23.4" x14ac:dyDescent="0.45">
      <c r="A24" s="1" t="s">
        <v>5</v>
      </c>
      <c r="B24" s="18">
        <f>B23*B21</f>
        <v>29731.066420056686</v>
      </c>
    </row>
    <row r="25" spans="1:5" ht="23.4" x14ac:dyDescent="0.45">
      <c r="A25" s="1" t="s">
        <v>6</v>
      </c>
      <c r="B25" s="18">
        <f>B24-B22</f>
        <v>4731.0664200566862</v>
      </c>
    </row>
    <row r="35" spans="1:2" ht="21" x14ac:dyDescent="0.4">
      <c r="A35" s="20" t="s">
        <v>27</v>
      </c>
    </row>
    <row r="37" spans="1:2" ht="23.4" x14ac:dyDescent="0.45">
      <c r="A37" s="2" t="s">
        <v>1</v>
      </c>
      <c r="B37" s="3">
        <v>8.5000000000000006E-2</v>
      </c>
    </row>
    <row r="38" spans="1:2" ht="23.4" x14ac:dyDescent="0.45">
      <c r="A38" s="2" t="s">
        <v>2</v>
      </c>
      <c r="B38" s="2">
        <v>60</v>
      </c>
    </row>
    <row r="39" spans="1:2" ht="24" thickBot="1" x14ac:dyDescent="0.5">
      <c r="A39" s="2" t="s">
        <v>3</v>
      </c>
      <c r="B39" s="4">
        <v>29244.709567883634</v>
      </c>
    </row>
    <row r="40" spans="1:2" ht="24" thickBot="1" x14ac:dyDescent="0.5">
      <c r="A40" s="1" t="s">
        <v>4</v>
      </c>
      <c r="B40" s="17">
        <f>PMT(B37/12,B38,-B39)</f>
        <v>600</v>
      </c>
    </row>
    <row r="41" spans="1:2" ht="23.4" x14ac:dyDescent="0.45">
      <c r="A41" s="1" t="s">
        <v>5</v>
      </c>
      <c r="B41" s="18">
        <f>B40*B38</f>
        <v>36000</v>
      </c>
    </row>
    <row r="42" spans="1:2" ht="23.4" x14ac:dyDescent="0.45">
      <c r="A42" s="1" t="s">
        <v>6</v>
      </c>
      <c r="B42" s="18">
        <f>B41-B39</f>
        <v>6755.290432116366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F7" sqref="F7:I7"/>
    </sheetView>
  </sheetViews>
  <sheetFormatPr defaultRowHeight="14.4" x14ac:dyDescent="0.3"/>
  <cols>
    <col min="1" max="1" width="14.5546875" bestFit="1" customWidth="1"/>
    <col min="2" max="2" width="20.6640625" customWidth="1"/>
    <col min="3" max="3" width="19.5546875" bestFit="1" customWidth="1"/>
    <col min="6" max="6" width="16.33203125" bestFit="1" customWidth="1"/>
    <col min="7" max="7" width="15.109375" bestFit="1" customWidth="1"/>
  </cols>
  <sheetData>
    <row r="1" spans="1:7" ht="23.4" x14ac:dyDescent="0.45">
      <c r="A1" s="21" t="s">
        <v>7</v>
      </c>
      <c r="B1" s="22" t="s">
        <v>8</v>
      </c>
      <c r="C1" s="22" t="s">
        <v>9</v>
      </c>
      <c r="D1" s="1"/>
      <c r="E1" s="1"/>
      <c r="F1" s="1" t="s">
        <v>10</v>
      </c>
      <c r="G1" s="5">
        <v>500000</v>
      </c>
    </row>
    <row r="2" spans="1:7" ht="23.4" x14ac:dyDescent="0.45">
      <c r="A2" s="23">
        <v>29260</v>
      </c>
      <c r="B2" s="24">
        <f>A2*$G$2</f>
        <v>3026.184029042116</v>
      </c>
      <c r="C2" s="25">
        <f>A2+B2</f>
        <v>32286.184029042117</v>
      </c>
      <c r="D2" s="1"/>
      <c r="E2" s="1"/>
      <c r="F2" s="1" t="s">
        <v>11</v>
      </c>
      <c r="G2" s="6">
        <v>0.1034239244375296</v>
      </c>
    </row>
    <row r="3" spans="1:7" ht="23.4" x14ac:dyDescent="0.45">
      <c r="A3" s="23">
        <v>39000</v>
      </c>
      <c r="B3" s="24">
        <f t="shared" ref="B3:B10" si="0">A3*$G$2</f>
        <v>4033.5330530636543</v>
      </c>
      <c r="C3" s="25">
        <f t="shared" ref="C3:C10" si="1">A3+B3</f>
        <v>43033.533053063657</v>
      </c>
      <c r="D3" s="1"/>
      <c r="E3" s="1"/>
      <c r="F3" s="1"/>
      <c r="G3" s="1"/>
    </row>
    <row r="4" spans="1:7" ht="23.4" x14ac:dyDescent="0.45">
      <c r="A4" s="23">
        <v>49260</v>
      </c>
      <c r="B4" s="24">
        <f t="shared" si="0"/>
        <v>5094.6625177927081</v>
      </c>
      <c r="C4" s="25">
        <f t="shared" si="1"/>
        <v>54354.662517792705</v>
      </c>
      <c r="D4" s="1"/>
      <c r="E4" s="1"/>
      <c r="F4" s="1"/>
      <c r="G4" s="1"/>
    </row>
    <row r="5" spans="1:7" ht="23.4" x14ac:dyDescent="0.45">
      <c r="A5" s="23">
        <v>24840</v>
      </c>
      <c r="B5" s="24">
        <f t="shared" si="0"/>
        <v>2569.0502830282353</v>
      </c>
      <c r="C5" s="25">
        <f t="shared" si="1"/>
        <v>27409.050283028235</v>
      </c>
      <c r="D5" s="1"/>
      <c r="E5" s="1"/>
      <c r="F5" s="1"/>
      <c r="G5" s="1"/>
    </row>
    <row r="6" spans="1:7" ht="23.4" x14ac:dyDescent="0.45">
      <c r="A6" s="23">
        <v>39000</v>
      </c>
      <c r="B6" s="24">
        <f t="shared" si="0"/>
        <v>4033.5330530636543</v>
      </c>
      <c r="C6" s="25">
        <f t="shared" si="1"/>
        <v>43033.533053063657</v>
      </c>
      <c r="D6" s="1"/>
      <c r="E6" s="1"/>
      <c r="F6" s="26" t="s">
        <v>30</v>
      </c>
      <c r="G6" s="1"/>
    </row>
    <row r="7" spans="1:7" ht="23.4" x14ac:dyDescent="0.45">
      <c r="A7" s="23">
        <v>74500</v>
      </c>
      <c r="B7" s="24">
        <f t="shared" si="0"/>
        <v>7705.0823705959547</v>
      </c>
      <c r="C7" s="25">
        <f t="shared" si="1"/>
        <v>82205.082370595948</v>
      </c>
      <c r="D7" s="1"/>
      <c r="E7" s="1"/>
      <c r="F7" s="1" t="s">
        <v>31</v>
      </c>
      <c r="G7" s="1"/>
    </row>
    <row r="8" spans="1:7" ht="23.4" x14ac:dyDescent="0.45">
      <c r="A8" s="23">
        <v>79730</v>
      </c>
      <c r="B8" s="24">
        <f t="shared" si="0"/>
        <v>8245.9894954042338</v>
      </c>
      <c r="C8" s="25">
        <f t="shared" si="1"/>
        <v>87975.989495404239</v>
      </c>
      <c r="D8" s="1"/>
      <c r="E8" s="1"/>
      <c r="F8" s="1"/>
      <c r="G8" s="1"/>
    </row>
    <row r="9" spans="1:7" ht="23.4" x14ac:dyDescent="0.45">
      <c r="A9" s="23">
        <v>82500</v>
      </c>
      <c r="B9" s="24">
        <f t="shared" si="0"/>
        <v>8532.473766096191</v>
      </c>
      <c r="C9" s="25">
        <f t="shared" si="1"/>
        <v>91032.473766096198</v>
      </c>
      <c r="D9" s="1"/>
      <c r="E9" s="1"/>
      <c r="F9" s="1"/>
      <c r="G9" s="1"/>
    </row>
    <row r="10" spans="1:7" ht="23.4" x14ac:dyDescent="0.45">
      <c r="A10" s="23">
        <v>35045</v>
      </c>
      <c r="B10" s="24">
        <f t="shared" si="0"/>
        <v>3624.4914319132249</v>
      </c>
      <c r="C10" s="25">
        <f t="shared" si="1"/>
        <v>38669.491431913222</v>
      </c>
      <c r="D10" s="1"/>
      <c r="E10" s="1"/>
      <c r="F10" s="1"/>
      <c r="G10" s="1"/>
    </row>
    <row r="11" spans="1:7" ht="23.4" x14ac:dyDescent="0.45">
      <c r="A11" s="5"/>
      <c r="B11" s="5"/>
      <c r="C11" s="5"/>
      <c r="D11" s="1"/>
      <c r="E11" s="1"/>
      <c r="F11" s="1"/>
      <c r="G11" s="1"/>
    </row>
    <row r="12" spans="1:7" ht="23.4" x14ac:dyDescent="0.45">
      <c r="A12" s="5"/>
      <c r="B12" s="5"/>
      <c r="C12" s="5">
        <f>SUM(C2:C10)</f>
        <v>500000</v>
      </c>
      <c r="D12" s="1"/>
      <c r="E12" s="1"/>
      <c r="F12" s="1"/>
      <c r="G12" s="1"/>
    </row>
    <row r="13" spans="1:7" ht="23.4" x14ac:dyDescent="0.45">
      <c r="A13" s="5"/>
      <c r="B13" s="5"/>
      <c r="C13" s="1"/>
      <c r="D13" s="1"/>
      <c r="E13" s="1"/>
      <c r="F13" s="1"/>
      <c r="G13" s="1"/>
    </row>
    <row r="14" spans="1:7" ht="23.4" x14ac:dyDescent="0.45">
      <c r="A14" s="5"/>
      <c r="B14" s="5"/>
      <c r="C14" s="1"/>
      <c r="D14" s="1"/>
      <c r="E14" s="1"/>
      <c r="F14" s="1"/>
      <c r="G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416C-1484-4685-A2BF-1B2CE3FE2306}">
  <sheetPr>
    <outlinePr summaryBelow="0"/>
  </sheetPr>
  <dimension ref="B1:G16"/>
  <sheetViews>
    <sheetView showGridLines="0" workbookViewId="0"/>
  </sheetViews>
  <sheetFormatPr defaultRowHeight="14.4" outlineLevelRow="1" outlineLevelCol="1" x14ac:dyDescent="0.3"/>
  <cols>
    <col min="3" max="3" width="13.5546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29" t="s">
        <v>41</v>
      </c>
      <c r="C2" s="29"/>
      <c r="D2" s="34"/>
      <c r="E2" s="34"/>
      <c r="F2" s="34"/>
      <c r="G2" s="34"/>
    </row>
    <row r="3" spans="2:7" ht="15.6" collapsed="1" x14ac:dyDescent="0.3">
      <c r="B3" s="28"/>
      <c r="C3" s="28"/>
      <c r="D3" s="35" t="s">
        <v>43</v>
      </c>
      <c r="E3" s="35" t="s">
        <v>37</v>
      </c>
      <c r="F3" s="35" t="s">
        <v>39</v>
      </c>
      <c r="G3" s="35" t="s">
        <v>40</v>
      </c>
    </row>
    <row r="4" spans="2:7" ht="30.6" hidden="1" outlineLevel="1" x14ac:dyDescent="0.3">
      <c r="B4" s="31"/>
      <c r="C4" s="31"/>
      <c r="E4" s="37" t="s">
        <v>38</v>
      </c>
      <c r="F4" s="37" t="s">
        <v>38</v>
      </c>
      <c r="G4" s="37" t="s">
        <v>38</v>
      </c>
    </row>
    <row r="5" spans="2:7" x14ac:dyDescent="0.3">
      <c r="B5" s="32" t="s">
        <v>42</v>
      </c>
      <c r="C5" s="32"/>
      <c r="D5" s="30"/>
      <c r="E5" s="30"/>
      <c r="F5" s="30"/>
      <c r="G5" s="30"/>
    </row>
    <row r="6" spans="2:7" outlineLevel="1" x14ac:dyDescent="0.3">
      <c r="B6" s="31"/>
      <c r="C6" s="31" t="s">
        <v>32</v>
      </c>
      <c r="D6" s="27">
        <v>150000</v>
      </c>
      <c r="E6" s="36">
        <v>100000</v>
      </c>
      <c r="F6" s="36">
        <v>150000</v>
      </c>
      <c r="G6" s="36">
        <v>50000</v>
      </c>
    </row>
    <row r="7" spans="2:7" outlineLevel="1" x14ac:dyDescent="0.3">
      <c r="B7" s="31"/>
      <c r="C7" s="31" t="s">
        <v>33</v>
      </c>
      <c r="D7" s="27">
        <v>15000</v>
      </c>
      <c r="E7" s="36">
        <v>5000</v>
      </c>
      <c r="F7" s="36">
        <v>15000</v>
      </c>
      <c r="G7" s="36">
        <v>1000</v>
      </c>
    </row>
    <row r="8" spans="2:7" outlineLevel="1" x14ac:dyDescent="0.3">
      <c r="B8" s="31"/>
      <c r="C8" s="31" t="s">
        <v>34</v>
      </c>
      <c r="D8" s="27">
        <v>40000</v>
      </c>
      <c r="E8" s="36">
        <v>40000</v>
      </c>
      <c r="F8" s="36">
        <v>40000</v>
      </c>
      <c r="G8" s="36">
        <v>20000</v>
      </c>
    </row>
    <row r="9" spans="2:7" outlineLevel="1" x14ac:dyDescent="0.3">
      <c r="B9" s="31"/>
      <c r="C9" s="31" t="s">
        <v>35</v>
      </c>
      <c r="D9" s="27">
        <v>4000</v>
      </c>
      <c r="E9" s="36">
        <v>4000</v>
      </c>
      <c r="F9" s="36">
        <v>4000</v>
      </c>
      <c r="G9" s="36">
        <v>4000</v>
      </c>
    </row>
    <row r="10" spans="2:7" outlineLevel="1" x14ac:dyDescent="0.3">
      <c r="B10" s="31"/>
      <c r="C10" s="31" t="s">
        <v>36</v>
      </c>
      <c r="D10" s="27">
        <v>1500</v>
      </c>
      <c r="E10" s="36">
        <v>1000</v>
      </c>
      <c r="F10" s="36">
        <v>1500</v>
      </c>
      <c r="G10" s="36">
        <v>100</v>
      </c>
    </row>
    <row r="11" spans="2:7" x14ac:dyDescent="0.3">
      <c r="B11" s="32" t="s">
        <v>44</v>
      </c>
      <c r="C11" s="32"/>
      <c r="D11" s="30"/>
      <c r="E11" s="30"/>
      <c r="F11" s="30"/>
      <c r="G11" s="30"/>
    </row>
    <row r="12" spans="2:7" outlineLevel="1" x14ac:dyDescent="0.3">
      <c r="B12" s="31"/>
      <c r="C12" s="31" t="s">
        <v>50</v>
      </c>
      <c r="D12" s="27">
        <v>60500</v>
      </c>
      <c r="E12" s="27">
        <v>50000</v>
      </c>
      <c r="F12" s="27">
        <v>60500</v>
      </c>
      <c r="G12" s="27">
        <v>25100</v>
      </c>
    </row>
    <row r="13" spans="2:7" ht="15" outlineLevel="1" thickBot="1" x14ac:dyDescent="0.35">
      <c r="B13" s="33"/>
      <c r="C13" s="33" t="s">
        <v>51</v>
      </c>
      <c r="D13" s="38">
        <v>89500</v>
      </c>
      <c r="E13" s="38">
        <v>50000</v>
      </c>
      <c r="F13" s="38">
        <v>89500</v>
      </c>
      <c r="G13" s="38">
        <v>24900</v>
      </c>
    </row>
    <row r="14" spans="2:7" x14ac:dyDescent="0.3">
      <c r="B14" t="s">
        <v>45</v>
      </c>
    </row>
    <row r="15" spans="2:7" x14ac:dyDescent="0.3">
      <c r="B15" t="s">
        <v>46</v>
      </c>
    </row>
    <row r="16" spans="2:7" x14ac:dyDescent="0.3">
      <c r="B1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E13" sqref="E13"/>
    </sheetView>
  </sheetViews>
  <sheetFormatPr defaultRowHeight="14.4" x14ac:dyDescent="0.3"/>
  <cols>
    <col min="1" max="1" width="18" bestFit="1" customWidth="1"/>
    <col min="2" max="2" width="13.6640625" bestFit="1" customWidth="1"/>
    <col min="6" max="6" width="37.5546875" customWidth="1"/>
  </cols>
  <sheetData>
    <row r="1" spans="1:6" ht="18" x14ac:dyDescent="0.35">
      <c r="A1" s="7" t="s">
        <v>12</v>
      </c>
      <c r="B1" s="8">
        <v>150000</v>
      </c>
    </row>
    <row r="2" spans="1:6" ht="18" x14ac:dyDescent="0.35">
      <c r="A2" s="9"/>
      <c r="B2" s="10"/>
    </row>
    <row r="3" spans="1:6" ht="18" x14ac:dyDescent="0.35">
      <c r="A3" s="7" t="s">
        <v>13</v>
      </c>
      <c r="B3" s="10"/>
    </row>
    <row r="4" spans="1:6" ht="18" x14ac:dyDescent="0.35">
      <c r="A4" s="9" t="s">
        <v>14</v>
      </c>
      <c r="B4" s="8">
        <v>15000</v>
      </c>
    </row>
    <row r="5" spans="1:6" ht="18" x14ac:dyDescent="0.35">
      <c r="A5" s="9" t="s">
        <v>15</v>
      </c>
      <c r="B5" s="8">
        <v>40000</v>
      </c>
    </row>
    <row r="6" spans="1:6" ht="18" x14ac:dyDescent="0.35">
      <c r="A6" s="9" t="s">
        <v>16</v>
      </c>
      <c r="B6" s="8">
        <v>4000</v>
      </c>
    </row>
    <row r="7" spans="1:6" ht="18" x14ac:dyDescent="0.35">
      <c r="A7" s="9" t="s">
        <v>17</v>
      </c>
      <c r="B7" s="8">
        <v>1500</v>
      </c>
    </row>
    <row r="8" spans="1:6" ht="18" x14ac:dyDescent="0.35">
      <c r="A8" s="7"/>
      <c r="B8" s="10"/>
      <c r="F8" t="s">
        <v>48</v>
      </c>
    </row>
    <row r="9" spans="1:6" ht="18" x14ac:dyDescent="0.35">
      <c r="A9" s="7" t="s">
        <v>18</v>
      </c>
      <c r="B9" s="11">
        <f>SUM(B4:B7)</f>
        <v>60500</v>
      </c>
      <c r="F9" t="s">
        <v>49</v>
      </c>
    </row>
    <row r="10" spans="1:6" ht="18" x14ac:dyDescent="0.35">
      <c r="A10" s="7"/>
      <c r="B10" s="10"/>
    </row>
    <row r="11" spans="1:6" ht="18" x14ac:dyDescent="0.35">
      <c r="A11" s="7" t="s">
        <v>19</v>
      </c>
      <c r="B11" s="11">
        <f>Monthly_Sales-Total_Costs</f>
        <v>89500</v>
      </c>
    </row>
  </sheetData>
  <scenarios current="1" show="1" sqref="B9 B11">
    <scenario name="orginal" locked="1" count="5" user="Abhin Prakash M T" comment="Created by Abhin Prakash M T on 26-02-2025">
      <inputCells r="B1" val="100000" numFmtId="167"/>
      <inputCells r="B4" val="5000" numFmtId="167"/>
      <inputCells r="B5" val="40000" numFmtId="167"/>
      <inputCells r="B6" val="4000" numFmtId="167"/>
      <inputCells r="B7" val="1000" numFmtId="167"/>
    </scenario>
    <scenario name="High_sales" locked="1" count="5" user="Abhin Prakash M T" comment="Created by Abhin Prakash M T on 26-02-2025">
      <inputCells r="B1" val="150000" numFmtId="167"/>
      <inputCells r="B4" val="15000" numFmtId="167"/>
      <inputCells r="B5" val="40000" numFmtId="167"/>
      <inputCells r="B6" val="4000" numFmtId="167"/>
      <inputCells r="B7" val="1500" numFmtId="167"/>
    </scenario>
    <scenario name="low_sales" locked="1" count="5" user="Abhin Prakash M T" comment="Created by Abhin Prakash M T on 26-02-2025">
      <inputCells r="B1" val="50000" numFmtId="167"/>
      <inputCells r="B4" val="1000" numFmtId="167"/>
      <inputCells r="B5" val="20000" numFmtId="167"/>
      <inputCells r="B6" val="4000" numFmtId="167"/>
      <inputCells r="B7" val="100" numFmtId="167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>
      <selection activeCell="I9" sqref="I9"/>
    </sheetView>
  </sheetViews>
  <sheetFormatPr defaultRowHeight="14.4" x14ac:dyDescent="0.3"/>
  <cols>
    <col min="1" max="1" width="40" bestFit="1" customWidth="1"/>
    <col min="2" max="2" width="20.44140625" bestFit="1" customWidth="1"/>
    <col min="4" max="4" width="15.44140625" customWidth="1"/>
    <col min="5" max="5" width="13.44140625" customWidth="1"/>
    <col min="6" max="6" width="17.33203125" customWidth="1"/>
    <col min="7" max="7" width="16.88671875" customWidth="1"/>
    <col min="8" max="8" width="13.6640625" customWidth="1"/>
  </cols>
  <sheetData>
    <row r="1" spans="1:7" ht="21" x14ac:dyDescent="0.4">
      <c r="A1" s="12" t="s">
        <v>3</v>
      </c>
      <c r="B1" s="13">
        <v>1000000</v>
      </c>
    </row>
    <row r="2" spans="1:7" ht="21" x14ac:dyDescent="0.4">
      <c r="A2" s="12" t="s">
        <v>20</v>
      </c>
      <c r="B2" s="14">
        <v>0.08</v>
      </c>
    </row>
    <row r="3" spans="1:7" ht="21" x14ac:dyDescent="0.4">
      <c r="A3" s="12" t="s">
        <v>21</v>
      </c>
      <c r="B3" s="15">
        <v>30</v>
      </c>
    </row>
    <row r="4" spans="1:7" ht="21" x14ac:dyDescent="0.4">
      <c r="A4" s="12" t="s">
        <v>22</v>
      </c>
      <c r="B4" s="16">
        <f>PMT(B2/12,B3,-B1)</f>
        <v>36888.32383968668</v>
      </c>
    </row>
    <row r="7" spans="1:7" x14ac:dyDescent="0.3">
      <c r="F7" t="s">
        <v>52</v>
      </c>
    </row>
    <row r="9" spans="1:7" x14ac:dyDescent="0.3">
      <c r="E9" s="27"/>
      <c r="F9" s="39"/>
      <c r="G9" s="40">
        <f>B4</f>
        <v>36888.32383968668</v>
      </c>
    </row>
    <row r="10" spans="1:7" x14ac:dyDescent="0.3">
      <c r="F10" s="41">
        <v>6.5000000000000002E-2</v>
      </c>
      <c r="G10" s="40">
        <f t="dataTable" ref="G10:G15" dt2D="0" dtr="0" r1="B2"/>
        <v>36204.983913145617</v>
      </c>
    </row>
    <row r="11" spans="1:7" x14ac:dyDescent="0.3">
      <c r="F11" s="41">
        <v>7.0000000000000007E-2</v>
      </c>
      <c r="G11" s="40">
        <v>36431.907248909381</v>
      </c>
    </row>
    <row r="12" spans="1:7" x14ac:dyDescent="0.3">
      <c r="F12" s="41">
        <v>7.4999999999999997E-2</v>
      </c>
      <c r="G12" s="40">
        <v>36659.687529869247</v>
      </c>
    </row>
    <row r="13" spans="1:7" x14ac:dyDescent="0.3">
      <c r="F13" s="41">
        <v>0.08</v>
      </c>
      <c r="G13" s="40">
        <v>36888.32383968668</v>
      </c>
    </row>
    <row r="14" spans="1:7" x14ac:dyDescent="0.3">
      <c r="F14" s="41">
        <v>8.5000000000000006E-2</v>
      </c>
      <c r="G14" s="40">
        <v>37117.815237056398</v>
      </c>
    </row>
    <row r="15" spans="1:7" x14ac:dyDescent="0.3">
      <c r="F15" s="41">
        <v>0.09</v>
      </c>
      <c r="G15" s="40">
        <v>37348.160755830344</v>
      </c>
    </row>
    <row r="17" spans="4:11" x14ac:dyDescent="0.3">
      <c r="D17" t="s">
        <v>53</v>
      </c>
    </row>
    <row r="19" spans="4:11" x14ac:dyDescent="0.3">
      <c r="D19" s="40">
        <f>B4</f>
        <v>36888.32383968668</v>
      </c>
      <c r="E19" s="42">
        <v>6.5000000000000002E-2</v>
      </c>
      <c r="F19" s="43">
        <v>7.0000000000000007E-2</v>
      </c>
      <c r="G19" s="42">
        <v>7.4999999999999997E-2</v>
      </c>
      <c r="H19" s="43">
        <v>0.08</v>
      </c>
    </row>
    <row r="20" spans="4:11" x14ac:dyDescent="0.3">
      <c r="D20" s="44">
        <v>800000</v>
      </c>
      <c r="E20" s="40">
        <f t="dataTable" ref="E20:H26" dt2D="1" dtr="1" r1="B2" r2="B1" ca="1"/>
        <v>28963.987130516492</v>
      </c>
      <c r="F20" s="40">
        <v>29145.525799127507</v>
      </c>
      <c r="G20" s="40">
        <v>29327.750023895394</v>
      </c>
      <c r="H20" s="40">
        <v>29510.659071749345</v>
      </c>
      <c r="K20" t="s">
        <v>54</v>
      </c>
    </row>
    <row r="21" spans="4:11" x14ac:dyDescent="0.3">
      <c r="D21" s="44">
        <v>850000</v>
      </c>
      <c r="E21" s="40">
        <v>30774.236326173774</v>
      </c>
      <c r="F21" s="40">
        <v>30967.12116157297</v>
      </c>
      <c r="G21" s="40">
        <v>31160.734400388857</v>
      </c>
      <c r="H21" s="40">
        <v>31355.075263733681</v>
      </c>
    </row>
    <row r="22" spans="4:11" x14ac:dyDescent="0.3">
      <c r="D22" s="44">
        <v>900000</v>
      </c>
      <c r="E22" s="40">
        <v>32584.485521831055</v>
      </c>
      <c r="F22" s="40">
        <v>32788.71652401844</v>
      </c>
      <c r="G22" s="40">
        <v>32993.718776882321</v>
      </c>
      <c r="H22" s="40">
        <v>33199.491455718016</v>
      </c>
    </row>
    <row r="23" spans="4:11" x14ac:dyDescent="0.3">
      <c r="D23" s="44">
        <v>950000</v>
      </c>
      <c r="E23" s="40">
        <v>34394.73471748834</v>
      </c>
      <c r="F23" s="40">
        <v>34610.311886463911</v>
      </c>
      <c r="G23" s="40">
        <v>34826.703153375784</v>
      </c>
      <c r="H23" s="40">
        <v>35043.907647702348</v>
      </c>
    </row>
    <row r="24" spans="4:11" x14ac:dyDescent="0.3">
      <c r="D24" s="44">
        <v>1000000</v>
      </c>
      <c r="E24" s="40">
        <v>36204.983913145617</v>
      </c>
      <c r="F24" s="40">
        <v>36431.907248909381</v>
      </c>
      <c r="G24" s="40">
        <v>36659.687529869247</v>
      </c>
      <c r="H24" s="40">
        <v>36888.32383968668</v>
      </c>
    </row>
    <row r="25" spans="4:11" x14ac:dyDescent="0.3">
      <c r="D25" s="44">
        <v>1500000</v>
      </c>
      <c r="E25" s="40">
        <v>54307.475869718422</v>
      </c>
      <c r="F25" s="40">
        <v>54647.860873364072</v>
      </c>
      <c r="G25" s="40">
        <v>54989.531294803863</v>
      </c>
      <c r="H25" s="40">
        <v>55332.48575953002</v>
      </c>
    </row>
    <row r="26" spans="4:11" x14ac:dyDescent="0.3">
      <c r="D26" s="44">
        <v>2000000</v>
      </c>
      <c r="E26" s="40">
        <v>72409.967826291235</v>
      </c>
      <c r="F26" s="40">
        <v>72863.814497818763</v>
      </c>
      <c r="G26" s="40">
        <v>73319.375059738493</v>
      </c>
      <c r="H26" s="40">
        <v>73776.64767937336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PMT</vt:lpstr>
      <vt:lpstr>Goal seek</vt:lpstr>
      <vt:lpstr>Scenario Summary 2</vt:lpstr>
      <vt:lpstr>scenario manager</vt:lpstr>
      <vt:lpstr>Data tables</vt:lpstr>
      <vt:lpstr>marketing</vt:lpstr>
      <vt:lpstr>miscellaneous</vt:lpstr>
      <vt:lpstr>Monthly_Sales</vt:lpstr>
      <vt:lpstr>rent</vt:lpstr>
      <vt:lpstr>salaries</vt:lpstr>
      <vt:lpstr>Total_Costs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Abhin Prakash M T</cp:lastModifiedBy>
  <dcterms:created xsi:type="dcterms:W3CDTF">2025-02-01T06:21:04Z</dcterms:created>
  <dcterms:modified xsi:type="dcterms:W3CDTF">2025-02-27T06:33:23Z</dcterms:modified>
</cp:coreProperties>
</file>