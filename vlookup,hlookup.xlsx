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f66ebc8a9c01533/Desktop/Excel/"/>
    </mc:Choice>
  </mc:AlternateContent>
  <xr:revisionPtr revIDLastSave="11" documentId="8_{D6BE7C55-9BFC-4368-A7D0-C5C170B6BF0A}" xr6:coauthVersionLast="47" xr6:coauthVersionMax="47" xr10:uidLastSave="{F6E272E5-943A-465F-8DBD-90D391C41EB9}"/>
  <bookViews>
    <workbookView xWindow="-110" yWindow="-110" windowWidth="19420" windowHeight="1030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" l="1"/>
  <c r="D4" i="2"/>
  <c r="D14" i="3"/>
  <c r="D13" i="3"/>
  <c r="E7" i="7"/>
  <c r="E8" i="7"/>
  <c r="E9" i="7"/>
  <c r="E10" i="7"/>
  <c r="E11" i="7"/>
  <c r="E12" i="7"/>
  <c r="E13" i="7"/>
  <c r="D8" i="7"/>
  <c r="D9" i="7"/>
  <c r="D10" i="7"/>
  <c r="D11" i="7"/>
  <c r="D12" i="7"/>
  <c r="D13" i="7"/>
  <c r="D7" i="7"/>
  <c r="D15" i="3"/>
  <c r="D16" i="3"/>
  <c r="E3" i="5"/>
  <c r="E4" i="5"/>
  <c r="E5" i="5"/>
  <c r="E6" i="5"/>
  <c r="E7" i="5"/>
  <c r="E8" i="5"/>
  <c r="E9" i="5"/>
  <c r="D4" i="5"/>
  <c r="D5" i="5"/>
  <c r="D6" i="5"/>
  <c r="D7" i="5"/>
  <c r="D8" i="5"/>
  <c r="D9" i="5"/>
  <c r="D3" i="5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<sst xmlns="http://schemas.openxmlformats.org/spreadsheetml/2006/main" count="784" uniqueCount="197">
  <si>
    <t>Area Code</t>
  </si>
  <si>
    <t>Product</t>
  </si>
  <si>
    <t>Product Type</t>
  </si>
  <si>
    <t>State</t>
  </si>
  <si>
    <t>Territory</t>
  </si>
  <si>
    <t>Target Profit</t>
  </si>
  <si>
    <t>Profit</t>
  </si>
  <si>
    <t>Marked Price</t>
  </si>
  <si>
    <t>Decaf Irish Cream</t>
  </si>
  <si>
    <t>Colorado</t>
  </si>
  <si>
    <t>Central</t>
  </si>
  <si>
    <t>Illinois</t>
  </si>
  <si>
    <t>Ohio</t>
  </si>
  <si>
    <t>Florida</t>
  </si>
  <si>
    <t>East</t>
  </si>
  <si>
    <t>Texas</t>
  </si>
  <si>
    <t>South</t>
  </si>
  <si>
    <t>California</t>
  </si>
  <si>
    <t>West</t>
  </si>
  <si>
    <t>Decaf Espresso</t>
  </si>
  <si>
    <t>Amaretto</t>
  </si>
  <si>
    <t>Colombian</t>
  </si>
  <si>
    <t>Massachusetts</t>
  </si>
  <si>
    <t>New York</t>
  </si>
  <si>
    <t>Caffe Mocha</t>
  </si>
  <si>
    <t>Regular Espresso</t>
  </si>
  <si>
    <t>Caffe Latte</t>
  </si>
  <si>
    <t>Iowa</t>
  </si>
  <si>
    <t>Missouri</t>
  </si>
  <si>
    <t>Wisconsin</t>
  </si>
  <si>
    <t>Louisiana</t>
  </si>
  <si>
    <t>New Mexico</t>
  </si>
  <si>
    <t>Oklahoma</t>
  </si>
  <si>
    <t>Nevada</t>
  </si>
  <si>
    <t>Oregon</t>
  </si>
  <si>
    <t>Utah</t>
  </si>
  <si>
    <t>Washington</t>
  </si>
  <si>
    <t>Connecticut</t>
  </si>
  <si>
    <t>New Hampshire</t>
  </si>
  <si>
    <t>Chamomile</t>
  </si>
  <si>
    <t>Lemon</t>
  </si>
  <si>
    <t>Mint</t>
  </si>
  <si>
    <t>Coffee</t>
  </si>
  <si>
    <t>Espresso</t>
  </si>
  <si>
    <t>Herbal Tea</t>
  </si>
  <si>
    <t>Darjeeling</t>
  </si>
  <si>
    <t>Tea</t>
  </si>
  <si>
    <t>Earl Grey</t>
  </si>
  <si>
    <t>Green Tea</t>
  </si>
  <si>
    <t>Selling Price</t>
  </si>
  <si>
    <t>TAX Rate</t>
  </si>
  <si>
    <t>Lower End</t>
  </si>
  <si>
    <t>Higher End</t>
  </si>
  <si>
    <t>VAT</t>
  </si>
  <si>
    <t>above</t>
  </si>
  <si>
    <t>Tax</t>
  </si>
  <si>
    <t>Order ID</t>
  </si>
  <si>
    <t>Customer Name</t>
  </si>
  <si>
    <t>Sales</t>
  </si>
  <si>
    <t>CA-2019-100867</t>
  </si>
  <si>
    <t>Eugene Hildebrand</t>
  </si>
  <si>
    <t>CA-2019-107153</t>
  </si>
  <si>
    <t>George Zrebassa</t>
  </si>
  <si>
    <t>CA-2019-115238</t>
  </si>
  <si>
    <t>Jane Waco</t>
  </si>
  <si>
    <t>CA-2019-115777</t>
  </si>
  <si>
    <t>Doug O'Connell</t>
  </si>
  <si>
    <t>CA-2019-117964</t>
  </si>
  <si>
    <t>Michael Knudson</t>
  </si>
  <si>
    <t>CA-2019-119508</t>
  </si>
  <si>
    <t>Tracy Zic</t>
  </si>
  <si>
    <t>CA-2019-123625</t>
  </si>
  <si>
    <t>Bruce Galang</t>
  </si>
  <si>
    <t>CA-2019-123664</t>
  </si>
  <si>
    <t>Neil Cohen</t>
  </si>
  <si>
    <t>CA-2019-125388</t>
  </si>
  <si>
    <t>Michael Paige</t>
  </si>
  <si>
    <t>CA-2019-126438</t>
  </si>
  <si>
    <t>Alex Russell</t>
  </si>
  <si>
    <t>CA-2019-126634</t>
  </si>
  <si>
    <t>Alan Barnes</t>
  </si>
  <si>
    <t>CA-2019-129322</t>
  </si>
  <si>
    <t>Denny Blanton</t>
  </si>
  <si>
    <t>CA-2019-131807</t>
  </si>
  <si>
    <t>Greg Guthrie</t>
  </si>
  <si>
    <t>CA-2019-132339</t>
  </si>
  <si>
    <t>Jennifer Braxton</t>
  </si>
  <si>
    <t>CA-2019-139675</t>
  </si>
  <si>
    <t>Nicole Fjeld</t>
  </si>
  <si>
    <t>CA-2019-141531</t>
  </si>
  <si>
    <t>CA-2019-143500</t>
  </si>
  <si>
    <t>Harry Olson</t>
  </si>
  <si>
    <t>CA-2019-146626</t>
  </si>
  <si>
    <t>James Peterman</t>
  </si>
  <si>
    <t>CA-2019-151799</t>
  </si>
  <si>
    <t>Ben Ferrer</t>
  </si>
  <si>
    <t>CA-2019-152443</t>
  </si>
  <si>
    <t>Frank Gastineau</t>
  </si>
  <si>
    <t>CA-2019-153623</t>
  </si>
  <si>
    <t>CA-2019-153738</t>
  </si>
  <si>
    <t>Alejandro Grove</t>
  </si>
  <si>
    <t>CA-2019-160325</t>
  </si>
  <si>
    <t>Bart Pistole</t>
  </si>
  <si>
    <t>CA-2019-166086</t>
  </si>
  <si>
    <t>Carol Triggs</t>
  </si>
  <si>
    <t>CA-2019-166695</t>
  </si>
  <si>
    <t>Chuck Clark</t>
  </si>
  <si>
    <t>CA-2019-184712</t>
  </si>
  <si>
    <t>CA-2020-112224</t>
  </si>
  <si>
    <t>CA-2020-115238</t>
  </si>
  <si>
    <t>CA-2020-119508</t>
  </si>
  <si>
    <t>CA-2020-129322</t>
  </si>
  <si>
    <t>CA-2020-132548</t>
  </si>
  <si>
    <t>CA-2020-139675</t>
  </si>
  <si>
    <t>CA-2020-145154</t>
  </si>
  <si>
    <t>CA-2020-150547</t>
  </si>
  <si>
    <t>CA-2020-152681</t>
  </si>
  <si>
    <t>Scott Cohen</t>
  </si>
  <si>
    <t>CA-2020-153071</t>
  </si>
  <si>
    <t>CA-2020-153738</t>
  </si>
  <si>
    <t>CA-2020-154124</t>
  </si>
  <si>
    <t>CA-2020-154231</t>
  </si>
  <si>
    <t>CA-2020-155586</t>
  </si>
  <si>
    <t>Xylona Preis</t>
  </si>
  <si>
    <t>CA-2020-158792</t>
  </si>
  <si>
    <t>Brian Dahlen</t>
  </si>
  <si>
    <t>CA-2021-108735</t>
  </si>
  <si>
    <t>Jessica Myrick</t>
  </si>
  <si>
    <t>CA-2021-111254</t>
  </si>
  <si>
    <t>CA-2021-112109</t>
  </si>
  <si>
    <t>Joe Elijah</t>
  </si>
  <si>
    <t>CA-2021-115238</t>
  </si>
  <si>
    <t>CA-2021-115483</t>
  </si>
  <si>
    <t>Jill Trafton</t>
  </si>
  <si>
    <t>CA-2021-119508</t>
  </si>
  <si>
    <t>CA-2021-121465</t>
  </si>
  <si>
    <t>CA-2021-124574</t>
  </si>
  <si>
    <t>CA-2021-124626</t>
  </si>
  <si>
    <t>CA-2021-125724</t>
  </si>
  <si>
    <t>Suzanne McNair</t>
  </si>
  <si>
    <t>CA-2021-126627</t>
  </si>
  <si>
    <t>William Brown</t>
  </si>
  <si>
    <t>CA-2021-129322</t>
  </si>
  <si>
    <t>CA-2021-133541</t>
  </si>
  <si>
    <t>CA-2021-135480</t>
  </si>
  <si>
    <t>CA-2021-136547</t>
  </si>
  <si>
    <t>CA-2021-139675</t>
  </si>
  <si>
    <t>CA-2021-141082</t>
  </si>
  <si>
    <t>Fred McMath</t>
  </si>
  <si>
    <t>CA-2021-153738</t>
  </si>
  <si>
    <t>CA-2021-155412</t>
  </si>
  <si>
    <t>CA-2021-155586</t>
  </si>
  <si>
    <t>CA-2021-158792</t>
  </si>
  <si>
    <t>CA-2021-169856</t>
  </si>
  <si>
    <t>CA-2021-174514</t>
  </si>
  <si>
    <t>CA-2021-187423</t>
  </si>
  <si>
    <t>CA-2021-192314</t>
  </si>
  <si>
    <t>Jennifer Sheldon</t>
  </si>
  <si>
    <t>CA-2022-105471</t>
  </si>
  <si>
    <t>CA-2022-106541</t>
  </si>
  <si>
    <t>CA-2022-107004</t>
  </si>
  <si>
    <t>CA-2022-108735</t>
  </si>
  <si>
    <t>CA-2022-112109</t>
  </si>
  <si>
    <t>CA-2022-115238</t>
  </si>
  <si>
    <t>CA-2022-115483</t>
  </si>
  <si>
    <t>CA-2022-115777</t>
  </si>
  <si>
    <t>CA-2022-119508</t>
  </si>
  <si>
    <t>CA-2022-121451</t>
  </si>
  <si>
    <t>CA-2022-124626</t>
  </si>
  <si>
    <t>CA-2022-125388</t>
  </si>
  <si>
    <t>CA-2022-125724</t>
  </si>
  <si>
    <t>CA-2022-126438</t>
  </si>
  <si>
    <t>CA-2022-126627</t>
  </si>
  <si>
    <t>CA-2022-126634</t>
  </si>
  <si>
    <t>CA-2022-129322</t>
  </si>
  <si>
    <t>CA-2022-130494</t>
  </si>
  <si>
    <t>CA-2022-131807</t>
  </si>
  <si>
    <t>CA-2022-132339</t>
  </si>
  <si>
    <t>CA-2022-135471</t>
  </si>
  <si>
    <t>CA-2022-135480</t>
  </si>
  <si>
    <t>CA-2022-139675</t>
  </si>
  <si>
    <t>CA-2022-141082</t>
  </si>
  <si>
    <t>CA-2022-141531</t>
  </si>
  <si>
    <t>CA-2022-143500</t>
  </si>
  <si>
    <t>CA-2022-145612</t>
  </si>
  <si>
    <t>CA-2022-146626</t>
  </si>
  <si>
    <t>CA-2022-151799</t>
  </si>
  <si>
    <t>CA-2022-153738</t>
  </si>
  <si>
    <t>CA-2022-154121</t>
  </si>
  <si>
    <t>CA-2022-158740</t>
  </si>
  <si>
    <t>CA-2022-160325</t>
  </si>
  <si>
    <t>CA-2022-166695</t>
  </si>
  <si>
    <t>CA-2022-184712</t>
  </si>
  <si>
    <t>CA-2022-192314</t>
  </si>
  <si>
    <t>CA-2020-111111</t>
  </si>
  <si>
    <t>lookup function</t>
  </si>
  <si>
    <t>#=vlookp()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</si>
</sst>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20"/>
      <color theme="1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C8C8C8"/>
        <bgColor rgb="FFC8C8C8"/>
      </patternFill>
    </fill>
    <fill>
      <patternFill patternType="solid">
        <fgColor rgb="FFADB9CA"/>
        <bgColor rgb="FFADB9CA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4" borderId="9" xfId="0" applyFont="1" applyFill="1" applyBorder="1"/>
    <xf numFmtId="0" fontId="3" fillId="3" borderId="10" xfId="0" applyFont="1" applyFill="1" applyBorder="1"/>
    <xf numFmtId="0" fontId="3" fillId="3" borderId="0" xfId="0" applyFont="1" applyFill="1"/>
    <xf numFmtId="0" fontId="3" fillId="3" borderId="11" xfId="0" applyFont="1" applyFill="1" applyBorder="1"/>
    <xf numFmtId="0" fontId="3" fillId="0" borderId="10" xfId="0" applyFont="1" applyBorder="1"/>
    <xf numFmtId="9" fontId="3" fillId="0" borderId="11" xfId="0" applyNumberFormat="1" applyFont="1" applyBorder="1"/>
    <xf numFmtId="0" fontId="3" fillId="0" borderId="12" xfId="0" applyFont="1" applyBorder="1"/>
    <xf numFmtId="0" fontId="3" fillId="0" borderId="13" xfId="0" applyFont="1" applyBorder="1"/>
    <xf numFmtId="9" fontId="3" fillId="0" borderId="14" xfId="0" applyNumberFormat="1" applyFont="1" applyBorder="1"/>
    <xf numFmtId="0" fontId="3" fillId="5" borderId="7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3" fontId="2" fillId="0" borderId="0" xfId="0" applyNumberFormat="1" applyFont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6" borderId="10" xfId="0" applyFont="1" applyFill="1" applyBorder="1"/>
    <xf numFmtId="0" fontId="2" fillId="6" borderId="0" xfId="0" applyFont="1" applyFill="1"/>
    <xf numFmtId="0" fontId="2" fillId="6" borderId="11" xfId="0" applyFont="1" applyFill="1" applyBorder="1"/>
    <xf numFmtId="0" fontId="2" fillId="6" borderId="12" xfId="0" applyFont="1" applyFill="1" applyBorder="1"/>
    <xf numFmtId="0" fontId="2" fillId="7" borderId="0" xfId="0" applyFont="1" applyFill="1"/>
    <xf numFmtId="0" fontId="3" fillId="4" borderId="7" xfId="0" applyFont="1" applyFill="1" applyBorder="1" applyAlignment="1">
      <alignment horizontal="center"/>
    </xf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85" zoomScaleNormal="99" workbookViewId="0">
      <selection activeCell="K6" sqref="K6"/>
    </sheetView>
  </sheetViews>
  <sheetFormatPr defaultColWidth="14.453125" defaultRowHeight="14.5" x14ac:dyDescent="0.35"/>
  <cols>
    <col min="1" max="1" width="12.81640625" customWidth="1"/>
    <col min="2" max="2" width="21.6328125" customWidth="1"/>
    <col min="3" max="3" width="21" customWidth="1"/>
    <col min="4" max="4" width="18.7265625" customWidth="1"/>
    <col min="5" max="5" width="11.26953125" customWidth="1"/>
    <col min="6" max="8" width="15.81640625" customWidth="1"/>
    <col min="9" max="10" width="9" customWidth="1"/>
    <col min="11" max="11" width="11.1796875" customWidth="1"/>
    <col min="12" max="26" width="9" customWidth="1"/>
  </cols>
  <sheetData>
    <row r="1" spans="1:26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5">
      <c r="A2" s="2">
        <v>970</v>
      </c>
      <c r="B2" s="2" t="s">
        <v>8</v>
      </c>
      <c r="C2" s="2" t="str">
        <f>VLOOKUP(B2,Sheet2!$A$2:$B$14,2)</f>
        <v>Coffee</v>
      </c>
      <c r="D2" s="2" t="s">
        <v>9</v>
      </c>
      <c r="E2" s="2" t="s">
        <v>10</v>
      </c>
      <c r="F2" s="2">
        <v>110</v>
      </c>
      <c r="G2" s="2">
        <v>101</v>
      </c>
      <c r="H2" s="2">
        <v>234</v>
      </c>
      <c r="I2" s="2"/>
      <c r="J2" s="30" t="s">
        <v>195</v>
      </c>
      <c r="K2" s="3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5">
      <c r="A3" s="2">
        <v>309</v>
      </c>
      <c r="B3" s="2" t="s">
        <v>8</v>
      </c>
      <c r="C3" s="2" t="str">
        <f>VLOOKUP(B3,Sheet2!$A$2:$B$14,2)</f>
        <v>Coffee</v>
      </c>
      <c r="D3" s="2" t="s">
        <v>11</v>
      </c>
      <c r="E3" s="2" t="s">
        <v>10</v>
      </c>
      <c r="F3" s="2">
        <v>100</v>
      </c>
      <c r="G3" s="2">
        <v>87</v>
      </c>
      <c r="H3" s="2">
        <v>234</v>
      </c>
      <c r="I3" s="2"/>
      <c r="J3" s="30" t="s">
        <v>196</v>
      </c>
      <c r="K3" s="3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5">
      <c r="A4" s="2">
        <v>614</v>
      </c>
      <c r="B4" s="2" t="s">
        <v>8</v>
      </c>
      <c r="C4" s="2" t="str">
        <f>VLOOKUP(B4,Sheet2!$A$2:$B$14,2)</f>
        <v>Coffee</v>
      </c>
      <c r="D4" s="2" t="s">
        <v>12</v>
      </c>
      <c r="E4" s="2" t="s">
        <v>10</v>
      </c>
      <c r="F4" s="2">
        <v>20</v>
      </c>
      <c r="G4" s="2">
        <v>0</v>
      </c>
      <c r="H4" s="2">
        <v>150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5">
      <c r="A5" s="2">
        <v>754</v>
      </c>
      <c r="B5" s="2" t="s">
        <v>8</v>
      </c>
      <c r="C5" s="2" t="str">
        <f>VLOOKUP(B5,Sheet2!$A$2:$B$14,2)</f>
        <v>Coffee</v>
      </c>
      <c r="D5" s="2" t="s">
        <v>13</v>
      </c>
      <c r="E5" s="2" t="s">
        <v>14</v>
      </c>
      <c r="F5" s="2">
        <v>70</v>
      </c>
      <c r="G5" s="2">
        <v>67</v>
      </c>
      <c r="H5" s="2">
        <v>200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x14ac:dyDescent="0.5">
      <c r="A6" s="2">
        <v>325</v>
      </c>
      <c r="B6" s="2" t="s">
        <v>8</v>
      </c>
      <c r="C6" s="2" t="str">
        <f>VLOOKUP(B6,Sheet2!$A$2:$B$14,2)</f>
        <v>Coffee</v>
      </c>
      <c r="D6" s="2" t="s">
        <v>15</v>
      </c>
      <c r="E6" s="2" t="s">
        <v>16</v>
      </c>
      <c r="F6" s="2">
        <v>100</v>
      </c>
      <c r="G6" s="2">
        <v>68</v>
      </c>
      <c r="H6" s="2">
        <v>190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 x14ac:dyDescent="0.5">
      <c r="A7" s="2">
        <v>650</v>
      </c>
      <c r="B7" s="2" t="s">
        <v>8</v>
      </c>
      <c r="C7" s="2" t="str">
        <f>VLOOKUP(B7,Sheet2!$A$2:$B$14,2)</f>
        <v>Coffee</v>
      </c>
      <c r="D7" s="2" t="s">
        <v>17</v>
      </c>
      <c r="E7" s="2" t="s">
        <v>18</v>
      </c>
      <c r="F7" s="2">
        <v>120</v>
      </c>
      <c r="G7" s="2">
        <v>117</v>
      </c>
      <c r="H7" s="2">
        <v>118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 x14ac:dyDescent="0.5">
      <c r="A8" s="2">
        <v>720</v>
      </c>
      <c r="B8" s="2" t="s">
        <v>19</v>
      </c>
      <c r="C8" s="2" t="str">
        <f>VLOOKUP(B8,Sheet2!$A$2:$B$14,2)</f>
        <v>Espresso</v>
      </c>
      <c r="D8" s="2" t="s">
        <v>9</v>
      </c>
      <c r="E8" s="2" t="s">
        <v>10</v>
      </c>
      <c r="F8" s="2">
        <v>80</v>
      </c>
      <c r="G8" s="2">
        <v>53</v>
      </c>
      <c r="H8" s="2">
        <v>180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 x14ac:dyDescent="0.5">
      <c r="A9" s="2">
        <v>630</v>
      </c>
      <c r="B9" s="2" t="s">
        <v>19</v>
      </c>
      <c r="C9" s="2" t="str">
        <f>VLOOKUP(B9,Sheet2!$A$2:$B$14,2)</f>
        <v>Espresso</v>
      </c>
      <c r="D9" s="2" t="s">
        <v>11</v>
      </c>
      <c r="E9" s="2" t="s">
        <v>10</v>
      </c>
      <c r="F9" s="2">
        <v>180</v>
      </c>
      <c r="G9" s="2">
        <v>140</v>
      </c>
      <c r="H9" s="2">
        <v>456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 x14ac:dyDescent="0.5">
      <c r="A10" s="2">
        <v>614</v>
      </c>
      <c r="B10" s="2" t="s">
        <v>19</v>
      </c>
      <c r="C10" s="2" t="str">
        <f>VLOOKUP(B10,Sheet2!$A$2:$B$14,2)</f>
        <v>Espresso</v>
      </c>
      <c r="D10" s="2" t="s">
        <v>12</v>
      </c>
      <c r="E10" s="2" t="s">
        <v>10</v>
      </c>
      <c r="F10" s="2">
        <v>40</v>
      </c>
      <c r="G10" s="2">
        <v>16</v>
      </c>
      <c r="H10" s="2">
        <v>130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customHeight="1" x14ac:dyDescent="0.5">
      <c r="A11" s="2">
        <v>754</v>
      </c>
      <c r="B11" s="2" t="s">
        <v>19</v>
      </c>
      <c r="C11" s="2" t="str">
        <f>VLOOKUP(B11,Sheet2!$A$2:$B$14,2)</f>
        <v>Espresso</v>
      </c>
      <c r="D11" s="2" t="s">
        <v>13</v>
      </c>
      <c r="E11" s="2" t="s">
        <v>14</v>
      </c>
      <c r="F11" s="2">
        <v>60</v>
      </c>
      <c r="G11" s="2">
        <v>50</v>
      </c>
      <c r="H11" s="2">
        <v>180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 x14ac:dyDescent="0.5">
      <c r="A12" s="2">
        <v>956</v>
      </c>
      <c r="B12" s="2" t="s">
        <v>19</v>
      </c>
      <c r="C12" s="2" t="str">
        <f>VLOOKUP(B12,Sheet2!$A$2:$B$14,2)</f>
        <v>Espresso</v>
      </c>
      <c r="D12" s="2" t="s">
        <v>15</v>
      </c>
      <c r="E12" s="2" t="s">
        <v>16</v>
      </c>
      <c r="F12" s="2">
        <v>60</v>
      </c>
      <c r="G12" s="2">
        <v>54</v>
      </c>
      <c r="H12" s="2">
        <v>134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 x14ac:dyDescent="0.5">
      <c r="A13" s="2">
        <v>213</v>
      </c>
      <c r="B13" s="2" t="s">
        <v>19</v>
      </c>
      <c r="C13" s="2" t="str">
        <f>VLOOKUP(B13,Sheet2!$A$2:$B$14,2)</f>
        <v>Espresso</v>
      </c>
      <c r="D13" s="2" t="s">
        <v>17</v>
      </c>
      <c r="E13" s="2" t="s">
        <v>18</v>
      </c>
      <c r="F13" s="2">
        <v>200</v>
      </c>
      <c r="G13" s="2">
        <v>203</v>
      </c>
      <c r="H13" s="2">
        <v>546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 x14ac:dyDescent="0.5">
      <c r="A14" s="2">
        <v>719</v>
      </c>
      <c r="B14" s="2" t="s">
        <v>20</v>
      </c>
      <c r="C14" s="2" t="str">
        <f>VLOOKUP(B14,Sheet2!$A$2:$B$14,2)</f>
        <v>Coffee</v>
      </c>
      <c r="D14" s="2" t="s">
        <v>9</v>
      </c>
      <c r="E14" s="2" t="s">
        <v>10</v>
      </c>
      <c r="F14" s="2">
        <v>100</v>
      </c>
      <c r="G14" s="2">
        <v>94</v>
      </c>
      <c r="H14" s="2">
        <v>219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customHeight="1" x14ac:dyDescent="0.5">
      <c r="A15" s="2">
        <v>740</v>
      </c>
      <c r="B15" s="2" t="s">
        <v>20</v>
      </c>
      <c r="C15" s="2" t="str">
        <f>VLOOKUP(B15,Sheet2!$A$2:$B$14,2)</f>
        <v>Coffee</v>
      </c>
      <c r="D15" s="2" t="s">
        <v>12</v>
      </c>
      <c r="E15" s="2" t="s">
        <v>10</v>
      </c>
      <c r="F15" s="2">
        <v>50</v>
      </c>
      <c r="G15" s="2">
        <v>34</v>
      </c>
      <c r="H15" s="2">
        <v>140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" customHeight="1" x14ac:dyDescent="0.5">
      <c r="A16" s="2">
        <v>970</v>
      </c>
      <c r="B16" s="2" t="s">
        <v>21</v>
      </c>
      <c r="C16" s="2" t="str">
        <f>VLOOKUP(B16,Sheet2!$A$2:$B$14,2)</f>
        <v>Coffee</v>
      </c>
      <c r="D16" s="2" t="s">
        <v>9</v>
      </c>
      <c r="E16" s="2" t="s">
        <v>10</v>
      </c>
      <c r="F16" s="2">
        <v>80</v>
      </c>
      <c r="G16" s="2">
        <v>68</v>
      </c>
      <c r="H16" s="2">
        <v>190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 x14ac:dyDescent="0.5">
      <c r="A17" s="2">
        <v>217</v>
      </c>
      <c r="B17" s="2" t="s">
        <v>21</v>
      </c>
      <c r="C17" s="2" t="str">
        <f>VLOOKUP(B17,Sheet2!$A$2:$B$14,2)</f>
        <v>Coffee</v>
      </c>
      <c r="D17" s="2" t="s">
        <v>11</v>
      </c>
      <c r="E17" s="2" t="s">
        <v>10</v>
      </c>
      <c r="F17" s="2">
        <v>130</v>
      </c>
      <c r="G17" s="2">
        <v>111</v>
      </c>
      <c r="H17" s="2">
        <v>345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 x14ac:dyDescent="0.5">
      <c r="A18" s="2">
        <v>614</v>
      </c>
      <c r="B18" s="2" t="s">
        <v>21</v>
      </c>
      <c r="C18" s="2" t="str">
        <f>VLOOKUP(B18,Sheet2!$A$2:$B$14,2)</f>
        <v>Coffee</v>
      </c>
      <c r="D18" s="2" t="s">
        <v>12</v>
      </c>
      <c r="E18" s="2" t="s">
        <v>10</v>
      </c>
      <c r="F18" s="2">
        <v>50</v>
      </c>
      <c r="G18" s="2">
        <v>42</v>
      </c>
      <c r="H18" s="2">
        <v>140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 x14ac:dyDescent="0.5">
      <c r="A19" s="2">
        <v>954</v>
      </c>
      <c r="B19" s="2" t="s">
        <v>21</v>
      </c>
      <c r="C19" s="2" t="str">
        <f>VLOOKUP(B19,Sheet2!$A$2:$B$14,2)</f>
        <v>Coffee</v>
      </c>
      <c r="D19" s="2" t="s">
        <v>13</v>
      </c>
      <c r="E19" s="2" t="s">
        <v>14</v>
      </c>
      <c r="F19" s="2">
        <v>70</v>
      </c>
      <c r="G19" s="2">
        <v>68</v>
      </c>
      <c r="H19" s="2">
        <v>210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customHeight="1" x14ac:dyDescent="0.5">
      <c r="A20" s="2">
        <v>413</v>
      </c>
      <c r="B20" s="2" t="s">
        <v>21</v>
      </c>
      <c r="C20" s="2" t="str">
        <f>VLOOKUP(B20,Sheet2!$A$2:$B$14,2)</f>
        <v>Coffee</v>
      </c>
      <c r="D20" s="2" t="s">
        <v>22</v>
      </c>
      <c r="E20" s="2" t="s">
        <v>14</v>
      </c>
      <c r="F20" s="2">
        <v>360</v>
      </c>
      <c r="G20" s="2">
        <v>367</v>
      </c>
      <c r="H20" s="2">
        <v>494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customHeight="1" x14ac:dyDescent="0.5">
      <c r="A21" s="2">
        <v>716</v>
      </c>
      <c r="B21" s="2" t="s">
        <v>21</v>
      </c>
      <c r="C21" s="2" t="str">
        <f>VLOOKUP(B21,Sheet2!$A$2:$B$14,2)</f>
        <v>Coffee</v>
      </c>
      <c r="D21" s="2" t="s">
        <v>23</v>
      </c>
      <c r="E21" s="2" t="s">
        <v>14</v>
      </c>
      <c r="F21" s="2">
        <v>260</v>
      </c>
      <c r="G21" s="2">
        <v>262</v>
      </c>
      <c r="H21" s="2">
        <v>678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customHeight="1" x14ac:dyDescent="0.5">
      <c r="A22" s="2">
        <v>409</v>
      </c>
      <c r="B22" s="2" t="s">
        <v>21</v>
      </c>
      <c r="C22" s="2" t="str">
        <f>VLOOKUP(B22,Sheet2!$A$2:$B$14,2)</f>
        <v>Coffee</v>
      </c>
      <c r="D22" s="2" t="s">
        <v>15</v>
      </c>
      <c r="E22" s="2" t="s">
        <v>16</v>
      </c>
      <c r="F22" s="2">
        <v>220</v>
      </c>
      <c r="G22" s="2">
        <v>159</v>
      </c>
      <c r="H22" s="2">
        <v>452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customHeight="1" x14ac:dyDescent="0.5">
      <c r="A23" s="2">
        <v>916</v>
      </c>
      <c r="B23" s="2" t="s">
        <v>20</v>
      </c>
      <c r="C23" s="2" t="str">
        <f>VLOOKUP(B23,Sheet2!$A$2:$B$14,2)</f>
        <v>Coffee</v>
      </c>
      <c r="D23" s="2" t="s">
        <v>17</v>
      </c>
      <c r="E23" s="2" t="s">
        <v>18</v>
      </c>
      <c r="F23" s="2">
        <v>30</v>
      </c>
      <c r="G23" s="2">
        <v>2</v>
      </c>
      <c r="H23" s="2">
        <v>145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 x14ac:dyDescent="0.5">
      <c r="A24" s="2">
        <v>559</v>
      </c>
      <c r="B24" s="2" t="s">
        <v>21</v>
      </c>
      <c r="C24" s="2" t="str">
        <f>VLOOKUP(B24,Sheet2!$A$2:$B$14,2)</f>
        <v>Coffee</v>
      </c>
      <c r="D24" s="2" t="s">
        <v>17</v>
      </c>
      <c r="E24" s="2" t="s">
        <v>18</v>
      </c>
      <c r="F24" s="2">
        <v>370</v>
      </c>
      <c r="G24" s="2">
        <v>262</v>
      </c>
      <c r="H24" s="2">
        <v>678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" customHeight="1" x14ac:dyDescent="0.5">
      <c r="A25" s="2">
        <v>303</v>
      </c>
      <c r="B25" s="2" t="s">
        <v>24</v>
      </c>
      <c r="C25" s="2" t="str">
        <f>VLOOKUP(B25,Sheet2!$A$2:$B$14,2)</f>
        <v>Espresso</v>
      </c>
      <c r="D25" s="2" t="s">
        <v>9</v>
      </c>
      <c r="E25" s="2" t="s">
        <v>10</v>
      </c>
      <c r="F25" s="2">
        <v>70</v>
      </c>
      <c r="G25" s="2">
        <v>54</v>
      </c>
      <c r="H25" s="2">
        <v>134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customHeight="1" x14ac:dyDescent="0.5">
      <c r="A26" s="2">
        <v>309</v>
      </c>
      <c r="B26" s="2" t="s">
        <v>24</v>
      </c>
      <c r="C26" s="2" t="str">
        <f>VLOOKUP(B26,Sheet2!$A$2:$B$14,2)</f>
        <v>Espresso</v>
      </c>
      <c r="D26" s="2" t="s">
        <v>11</v>
      </c>
      <c r="E26" s="2" t="s">
        <v>10</v>
      </c>
      <c r="F26" s="2">
        <v>260</v>
      </c>
      <c r="G26" s="2">
        <v>203</v>
      </c>
      <c r="H26" s="2">
        <v>546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customHeight="1" x14ac:dyDescent="0.5">
      <c r="A27" s="2">
        <v>614</v>
      </c>
      <c r="B27" s="2" t="s">
        <v>24</v>
      </c>
      <c r="C27" s="2" t="str">
        <f>VLOOKUP(B27,Sheet2!$A$2:$B$14,2)</f>
        <v>Espresso</v>
      </c>
      <c r="D27" s="2" t="s">
        <v>12</v>
      </c>
      <c r="E27" s="2" t="s">
        <v>10</v>
      </c>
      <c r="F27" s="2">
        <v>140</v>
      </c>
      <c r="G27" s="2">
        <v>99</v>
      </c>
      <c r="H27" s="2">
        <v>341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customHeight="1" x14ac:dyDescent="0.5">
      <c r="A28" s="2">
        <v>239</v>
      </c>
      <c r="B28" s="2" t="s">
        <v>24</v>
      </c>
      <c r="C28" s="2" t="str">
        <f>VLOOKUP(B28,Sheet2!$A$2:$B$14,2)</f>
        <v>Espresso</v>
      </c>
      <c r="D28" s="2" t="s">
        <v>13</v>
      </c>
      <c r="E28" s="2" t="s">
        <v>14</v>
      </c>
      <c r="F28" s="2">
        <v>30</v>
      </c>
      <c r="G28" s="2">
        <v>9</v>
      </c>
      <c r="H28" s="2">
        <v>190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 x14ac:dyDescent="0.5">
      <c r="A29" s="2">
        <v>781</v>
      </c>
      <c r="B29" s="2" t="s">
        <v>24</v>
      </c>
      <c r="C29" s="2" t="str">
        <f>VLOOKUP(B29,Sheet2!$A$2:$B$14,2)</f>
        <v>Espresso</v>
      </c>
      <c r="D29" s="2" t="s">
        <v>22</v>
      </c>
      <c r="E29" s="2" t="s">
        <v>14</v>
      </c>
      <c r="F29" s="2">
        <v>10</v>
      </c>
      <c r="G29" s="2">
        <v>23</v>
      </c>
      <c r="H29" s="2">
        <v>126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5">
      <c r="A30" s="2">
        <v>315</v>
      </c>
      <c r="B30" s="2" t="s">
        <v>24</v>
      </c>
      <c r="C30" s="2" t="str">
        <f>VLOOKUP(B30,Sheet2!$A$2:$B$14,2)</f>
        <v>Espresso</v>
      </c>
      <c r="D30" s="2" t="s">
        <v>23</v>
      </c>
      <c r="E30" s="2" t="s">
        <v>14</v>
      </c>
      <c r="F30" s="2">
        <v>170</v>
      </c>
      <c r="G30" s="2">
        <v>172</v>
      </c>
      <c r="H30" s="2">
        <v>61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 x14ac:dyDescent="0.5">
      <c r="A31" s="2">
        <v>978</v>
      </c>
      <c r="B31" s="2" t="s">
        <v>25</v>
      </c>
      <c r="C31" s="2" t="str">
        <f>VLOOKUP(B31,Sheet2!$A$2:$B$14,2)</f>
        <v>Espresso</v>
      </c>
      <c r="D31" s="2" t="s">
        <v>22</v>
      </c>
      <c r="E31" s="2" t="s">
        <v>14</v>
      </c>
      <c r="F31" s="2">
        <v>110</v>
      </c>
      <c r="G31" s="2">
        <v>100</v>
      </c>
      <c r="H31" s="2">
        <v>341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 x14ac:dyDescent="0.5">
      <c r="A32" s="2">
        <v>631</v>
      </c>
      <c r="B32" s="2" t="s">
        <v>25</v>
      </c>
      <c r="C32" s="2" t="str">
        <f>VLOOKUP(B32,Sheet2!$A$2:$B$14,2)</f>
        <v>Espresso</v>
      </c>
      <c r="D32" s="2" t="s">
        <v>23</v>
      </c>
      <c r="E32" s="2" t="s">
        <v>14</v>
      </c>
      <c r="F32" s="2">
        <v>200</v>
      </c>
      <c r="G32" s="2">
        <v>175</v>
      </c>
      <c r="H32" s="2">
        <v>490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 x14ac:dyDescent="0.5">
      <c r="A33" s="2">
        <v>830</v>
      </c>
      <c r="B33" s="2" t="s">
        <v>26</v>
      </c>
      <c r="C33" s="2" t="str">
        <f>VLOOKUP(B33,Sheet2!$A$2:$B$14,2)</f>
        <v>Espresso</v>
      </c>
      <c r="D33" s="2" t="s">
        <v>15</v>
      </c>
      <c r="E33" s="2" t="s">
        <v>16</v>
      </c>
      <c r="F33" s="2">
        <v>50</v>
      </c>
      <c r="G33" s="2">
        <v>53</v>
      </c>
      <c r="H33" s="2">
        <v>180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5">
      <c r="A34" s="2">
        <v>325</v>
      </c>
      <c r="B34" s="2" t="s">
        <v>24</v>
      </c>
      <c r="C34" s="2" t="str">
        <f>VLOOKUP(B34,Sheet2!$A$2:$B$14,2)</f>
        <v>Espresso</v>
      </c>
      <c r="D34" s="2" t="s">
        <v>15</v>
      </c>
      <c r="E34" s="2" t="s">
        <v>16</v>
      </c>
      <c r="F34" s="2">
        <v>90</v>
      </c>
      <c r="G34" s="2">
        <v>95</v>
      </c>
      <c r="H34" s="2">
        <v>219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customHeight="1" x14ac:dyDescent="0.5">
      <c r="A35" s="2">
        <v>661</v>
      </c>
      <c r="B35" s="2" t="s">
        <v>26</v>
      </c>
      <c r="C35" s="2" t="str">
        <f>VLOOKUP(B35,Sheet2!$A$2:$B$14,2)</f>
        <v>Espresso</v>
      </c>
      <c r="D35" s="2" t="s">
        <v>17</v>
      </c>
      <c r="E35" s="2" t="s">
        <v>18</v>
      </c>
      <c r="F35" s="2">
        <v>150</v>
      </c>
      <c r="G35" s="2">
        <v>140</v>
      </c>
      <c r="H35" s="2">
        <v>456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customHeight="1" x14ac:dyDescent="0.5">
      <c r="A36" s="2">
        <v>818</v>
      </c>
      <c r="B36" s="2" t="s">
        <v>24</v>
      </c>
      <c r="C36" s="2" t="str">
        <f>VLOOKUP(B36,Sheet2!$A$2:$B$14,2)</f>
        <v>Espresso</v>
      </c>
      <c r="D36" s="2" t="s">
        <v>17</v>
      </c>
      <c r="E36" s="2" t="s">
        <v>18</v>
      </c>
      <c r="F36" s="2">
        <v>20</v>
      </c>
      <c r="G36" s="2">
        <v>17</v>
      </c>
      <c r="H36" s="2">
        <v>250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 x14ac:dyDescent="0.5">
      <c r="A37" s="2">
        <v>712</v>
      </c>
      <c r="B37" s="2" t="s">
        <v>8</v>
      </c>
      <c r="C37" s="2" t="str">
        <f>VLOOKUP(B37,Sheet2!$A$2:$B$14,2)</f>
        <v>Coffee</v>
      </c>
      <c r="D37" s="2" t="s">
        <v>27</v>
      </c>
      <c r="E37" s="2" t="s">
        <v>10</v>
      </c>
      <c r="F37" s="2">
        <v>20</v>
      </c>
      <c r="G37" s="2">
        <v>12</v>
      </c>
      <c r="H37" s="2">
        <v>54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customHeight="1" x14ac:dyDescent="0.5">
      <c r="A38" s="2">
        <v>573</v>
      </c>
      <c r="B38" s="2" t="s">
        <v>8</v>
      </c>
      <c r="C38" s="2" t="str">
        <f>VLOOKUP(B38,Sheet2!$A$2:$B$14,2)</f>
        <v>Coffee</v>
      </c>
      <c r="D38" s="2" t="s">
        <v>28</v>
      </c>
      <c r="E38" s="2" t="s">
        <v>10</v>
      </c>
      <c r="F38" s="2">
        <v>50</v>
      </c>
      <c r="G38" s="2">
        <v>47</v>
      </c>
      <c r="H38" s="2">
        <v>170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customHeight="1" x14ac:dyDescent="0.5">
      <c r="A39" s="2">
        <v>414</v>
      </c>
      <c r="B39" s="2" t="s">
        <v>8</v>
      </c>
      <c r="C39" s="2" t="str">
        <f>VLOOKUP(B39,Sheet2!$A$2:$B$14,2)</f>
        <v>Coffee</v>
      </c>
      <c r="D39" s="2" t="s">
        <v>29</v>
      </c>
      <c r="E39" s="2" t="s">
        <v>10</v>
      </c>
      <c r="F39" s="2">
        <v>60</v>
      </c>
      <c r="G39" s="2">
        <v>51</v>
      </c>
      <c r="H39" s="2">
        <v>180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" customHeight="1" x14ac:dyDescent="0.5">
      <c r="A40" s="2">
        <v>985</v>
      </c>
      <c r="B40" s="2" t="s">
        <v>8</v>
      </c>
      <c r="C40" s="2" t="str">
        <f>VLOOKUP(B40,Sheet2!$A$2:$B$14,2)</f>
        <v>Coffee</v>
      </c>
      <c r="D40" s="2" t="s">
        <v>30</v>
      </c>
      <c r="E40" s="2" t="s">
        <v>16</v>
      </c>
      <c r="F40" s="2">
        <v>50</v>
      </c>
      <c r="G40" s="2">
        <v>28</v>
      </c>
      <c r="H40" s="2">
        <v>81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" customHeight="1" x14ac:dyDescent="0.5">
      <c r="A41" s="2">
        <v>505</v>
      </c>
      <c r="B41" s="2" t="s">
        <v>8</v>
      </c>
      <c r="C41" s="2" t="str">
        <f>VLOOKUP(B41,Sheet2!$A$2:$B$14,2)</f>
        <v>Coffee</v>
      </c>
      <c r="D41" s="2" t="s">
        <v>31</v>
      </c>
      <c r="E41" s="2" t="s">
        <v>16</v>
      </c>
      <c r="F41" s="2">
        <v>30</v>
      </c>
      <c r="G41" s="2">
        <v>39</v>
      </c>
      <c r="H41" s="2">
        <v>99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" customHeight="1" x14ac:dyDescent="0.5">
      <c r="A42" s="2">
        <v>580</v>
      </c>
      <c r="B42" s="2" t="s">
        <v>8</v>
      </c>
      <c r="C42" s="2" t="str">
        <f>VLOOKUP(B42,Sheet2!$A$2:$B$14,2)</f>
        <v>Coffee</v>
      </c>
      <c r="D42" s="2" t="s">
        <v>32</v>
      </c>
      <c r="E42" s="2" t="s">
        <v>16</v>
      </c>
      <c r="F42" s="2">
        <v>50</v>
      </c>
      <c r="G42" s="2">
        <v>28</v>
      </c>
      <c r="H42" s="2">
        <v>80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" customHeight="1" x14ac:dyDescent="0.5">
      <c r="A43" s="2">
        <v>775</v>
      </c>
      <c r="B43" s="2" t="s">
        <v>8</v>
      </c>
      <c r="C43" s="2" t="str">
        <f>VLOOKUP(B43,Sheet2!$A$2:$B$14,2)</f>
        <v>Coffee</v>
      </c>
      <c r="D43" s="2" t="s">
        <v>33</v>
      </c>
      <c r="E43" s="2" t="s">
        <v>18</v>
      </c>
      <c r="F43" s="2">
        <v>20</v>
      </c>
      <c r="G43" s="2">
        <v>4</v>
      </c>
      <c r="H43" s="2">
        <v>62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" customHeight="1" x14ac:dyDescent="0.5">
      <c r="A44" s="2">
        <v>971</v>
      </c>
      <c r="B44" s="2" t="s">
        <v>8</v>
      </c>
      <c r="C44" s="2" t="str">
        <f>VLOOKUP(B44,Sheet2!$A$2:$B$14,2)</f>
        <v>Coffee</v>
      </c>
      <c r="D44" s="2" t="s">
        <v>34</v>
      </c>
      <c r="E44" s="2" t="s">
        <v>18</v>
      </c>
      <c r="F44" s="2">
        <v>70</v>
      </c>
      <c r="G44" s="2">
        <v>42</v>
      </c>
      <c r="H44" s="2">
        <v>140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" customHeight="1" x14ac:dyDescent="0.5">
      <c r="A45" s="2">
        <v>801</v>
      </c>
      <c r="B45" s="2" t="s">
        <v>8</v>
      </c>
      <c r="C45" s="2" t="str">
        <f>VLOOKUP(B45,Sheet2!$A$2:$B$14,2)</f>
        <v>Coffee</v>
      </c>
      <c r="D45" s="2" t="s">
        <v>35</v>
      </c>
      <c r="E45" s="2" t="s">
        <v>18</v>
      </c>
      <c r="F45" s="2">
        <v>70</v>
      </c>
      <c r="G45" s="2">
        <v>39</v>
      </c>
      <c r="H45" s="2">
        <v>190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" customHeight="1" x14ac:dyDescent="0.5">
      <c r="A46" s="2">
        <v>509</v>
      </c>
      <c r="B46" s="2" t="s">
        <v>8</v>
      </c>
      <c r="C46" s="2" t="str">
        <f>VLOOKUP(B46,Sheet2!$A$2:$B$14,2)</f>
        <v>Coffee</v>
      </c>
      <c r="D46" s="2" t="s">
        <v>36</v>
      </c>
      <c r="E46" s="2" t="s">
        <v>18</v>
      </c>
      <c r="F46" s="2">
        <v>60</v>
      </c>
      <c r="G46" s="2">
        <v>9</v>
      </c>
      <c r="H46" s="2">
        <v>190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" customHeight="1" x14ac:dyDescent="0.5">
      <c r="A47" s="2">
        <v>563</v>
      </c>
      <c r="B47" s="2" t="s">
        <v>19</v>
      </c>
      <c r="C47" s="2" t="str">
        <f>VLOOKUP(B47,Sheet2!$A$2:$B$14,2)</f>
        <v>Espresso</v>
      </c>
      <c r="D47" s="2" t="s">
        <v>27</v>
      </c>
      <c r="E47" s="2" t="s">
        <v>10</v>
      </c>
      <c r="F47" s="2">
        <v>30</v>
      </c>
      <c r="G47" s="2">
        <v>10</v>
      </c>
      <c r="H47" s="2">
        <v>43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" customHeight="1" x14ac:dyDescent="0.5">
      <c r="A48" s="2">
        <v>660</v>
      </c>
      <c r="B48" s="2" t="s">
        <v>19</v>
      </c>
      <c r="C48" s="2" t="str">
        <f>VLOOKUP(B48,Sheet2!$A$2:$B$14,2)</f>
        <v>Espresso</v>
      </c>
      <c r="D48" s="2" t="s">
        <v>28</v>
      </c>
      <c r="E48" s="2" t="s">
        <v>10</v>
      </c>
      <c r="F48" s="2">
        <v>60</v>
      </c>
      <c r="G48" s="2">
        <v>45</v>
      </c>
      <c r="H48" s="2">
        <v>114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" customHeight="1" x14ac:dyDescent="0.5">
      <c r="A49" s="2">
        <v>262</v>
      </c>
      <c r="B49" s="2" t="s">
        <v>19</v>
      </c>
      <c r="C49" s="2" t="str">
        <f>VLOOKUP(B49,Sheet2!$A$2:$B$14,2)</f>
        <v>Espresso</v>
      </c>
      <c r="D49" s="2" t="s">
        <v>29</v>
      </c>
      <c r="E49" s="2" t="s">
        <v>10</v>
      </c>
      <c r="F49" s="2">
        <v>50</v>
      </c>
      <c r="G49" s="2">
        <v>34</v>
      </c>
      <c r="H49" s="2">
        <v>110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customHeight="1" x14ac:dyDescent="0.5">
      <c r="A50" s="2">
        <v>475</v>
      </c>
      <c r="B50" s="2" t="s">
        <v>19</v>
      </c>
      <c r="C50" s="2" t="str">
        <f>VLOOKUP(B50,Sheet2!$A$2:$B$14,2)</f>
        <v>Espresso</v>
      </c>
      <c r="D50" s="2" t="s">
        <v>37</v>
      </c>
      <c r="E50" s="2" t="s">
        <v>14</v>
      </c>
      <c r="F50" s="2">
        <v>40</v>
      </c>
      <c r="G50" s="2">
        <v>30</v>
      </c>
      <c r="H50" s="2">
        <v>130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customHeight="1" x14ac:dyDescent="0.5">
      <c r="A51" s="2">
        <v>337</v>
      </c>
      <c r="B51" s="2" t="s">
        <v>19</v>
      </c>
      <c r="C51" s="2" t="str">
        <f>VLOOKUP(B51,Sheet2!$A$2:$B$14,2)</f>
        <v>Espresso</v>
      </c>
      <c r="D51" s="2" t="s">
        <v>30</v>
      </c>
      <c r="E51" s="2" t="s">
        <v>16</v>
      </c>
      <c r="F51" s="2">
        <v>50</v>
      </c>
      <c r="G51" s="2">
        <v>48</v>
      </c>
      <c r="H51" s="2">
        <v>150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customHeight="1" x14ac:dyDescent="0.5">
      <c r="A52" s="2">
        <v>505</v>
      </c>
      <c r="B52" s="2" t="s">
        <v>19</v>
      </c>
      <c r="C52" s="2" t="str">
        <f>VLOOKUP(B52,Sheet2!$A$2:$B$14,2)</f>
        <v>Espresso</v>
      </c>
      <c r="D52" s="2" t="s">
        <v>31</v>
      </c>
      <c r="E52" s="2" t="s">
        <v>16</v>
      </c>
      <c r="F52" s="2">
        <v>10</v>
      </c>
      <c r="G52" s="2">
        <v>9</v>
      </c>
      <c r="H52" s="2">
        <v>82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customHeight="1" x14ac:dyDescent="0.5">
      <c r="A53" s="2">
        <v>405</v>
      </c>
      <c r="B53" s="2" t="s">
        <v>19</v>
      </c>
      <c r="C53" s="2" t="str">
        <f>VLOOKUP(B53,Sheet2!$A$2:$B$14,2)</f>
        <v>Espresso</v>
      </c>
      <c r="D53" s="2" t="s">
        <v>32</v>
      </c>
      <c r="E53" s="2" t="s">
        <v>16</v>
      </c>
      <c r="F53" s="2">
        <v>70</v>
      </c>
      <c r="G53" s="2">
        <v>67</v>
      </c>
      <c r="H53" s="2">
        <v>210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customHeight="1" x14ac:dyDescent="0.5">
      <c r="A54" s="2">
        <v>775</v>
      </c>
      <c r="B54" s="2" t="s">
        <v>19</v>
      </c>
      <c r="C54" s="2" t="str">
        <f>VLOOKUP(B54,Sheet2!$A$2:$B$14,2)</f>
        <v>Espresso</v>
      </c>
      <c r="D54" s="2" t="s">
        <v>33</v>
      </c>
      <c r="E54" s="2" t="s">
        <v>18</v>
      </c>
      <c r="F54" s="2">
        <v>20</v>
      </c>
      <c r="G54" s="2">
        <v>11</v>
      </c>
      <c r="H54" s="2">
        <v>43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customHeight="1" x14ac:dyDescent="0.5">
      <c r="A55" s="2">
        <v>971</v>
      </c>
      <c r="B55" s="2" t="s">
        <v>19</v>
      </c>
      <c r="C55" s="2" t="str">
        <f>VLOOKUP(B55,Sheet2!$A$2:$B$14,2)</f>
        <v>Espresso</v>
      </c>
      <c r="D55" s="2" t="s">
        <v>34</v>
      </c>
      <c r="E55" s="2" t="s">
        <v>18</v>
      </c>
      <c r="F55" s="2">
        <v>100</v>
      </c>
      <c r="G55" s="2">
        <v>99</v>
      </c>
      <c r="H55" s="2">
        <v>341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customHeight="1" x14ac:dyDescent="0.5">
      <c r="A56" s="2">
        <v>435</v>
      </c>
      <c r="B56" s="2" t="s">
        <v>19</v>
      </c>
      <c r="C56" s="2" t="str">
        <f>VLOOKUP(B56,Sheet2!$A$2:$B$14,2)</f>
        <v>Espresso</v>
      </c>
      <c r="D56" s="2" t="s">
        <v>35</v>
      </c>
      <c r="E56" s="2" t="s">
        <v>18</v>
      </c>
      <c r="F56" s="2">
        <v>50</v>
      </c>
      <c r="G56" s="2">
        <v>47</v>
      </c>
      <c r="H56" s="2">
        <v>123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customHeight="1" x14ac:dyDescent="0.5">
      <c r="A57" s="2">
        <v>206</v>
      </c>
      <c r="B57" s="2" t="s">
        <v>19</v>
      </c>
      <c r="C57" s="2" t="str">
        <f>VLOOKUP(B57,Sheet2!$A$2:$B$14,2)</f>
        <v>Espresso</v>
      </c>
      <c r="D57" s="2" t="s">
        <v>36</v>
      </c>
      <c r="E57" s="2" t="s">
        <v>18</v>
      </c>
      <c r="F57" s="2">
        <v>60</v>
      </c>
      <c r="G57" s="2">
        <v>39</v>
      </c>
      <c r="H57" s="2">
        <v>150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 x14ac:dyDescent="0.5">
      <c r="A58" s="2">
        <v>319</v>
      </c>
      <c r="B58" s="2" t="s">
        <v>20</v>
      </c>
      <c r="C58" s="2" t="str">
        <f>VLOOKUP(B58,Sheet2!$A$2:$B$14,2)</f>
        <v>Coffee</v>
      </c>
      <c r="D58" s="2" t="s">
        <v>27</v>
      </c>
      <c r="E58" s="2" t="s">
        <v>10</v>
      </c>
      <c r="F58" s="2">
        <v>20</v>
      </c>
      <c r="G58" s="2">
        <v>11</v>
      </c>
      <c r="H58" s="2">
        <v>45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customHeight="1" x14ac:dyDescent="0.5">
      <c r="A59" s="2">
        <v>262</v>
      </c>
      <c r="B59" s="2" t="s">
        <v>20</v>
      </c>
      <c r="C59" s="2" t="str">
        <f>VLOOKUP(B59,Sheet2!$A$2:$B$14,2)</f>
        <v>Coffee</v>
      </c>
      <c r="D59" s="2" t="s">
        <v>29</v>
      </c>
      <c r="E59" s="2" t="s">
        <v>10</v>
      </c>
      <c r="F59" s="2">
        <v>30</v>
      </c>
      <c r="G59" s="2">
        <v>13</v>
      </c>
      <c r="H59" s="2">
        <v>120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customHeight="1" x14ac:dyDescent="0.5">
      <c r="A60" s="2">
        <v>641</v>
      </c>
      <c r="B60" s="2" t="s">
        <v>21</v>
      </c>
      <c r="C60" s="2" t="str">
        <f>VLOOKUP(B60,Sheet2!$A$2:$B$14,2)</f>
        <v>Coffee</v>
      </c>
      <c r="D60" s="2" t="s">
        <v>27</v>
      </c>
      <c r="E60" s="2" t="s">
        <v>10</v>
      </c>
      <c r="F60" s="2">
        <v>20</v>
      </c>
      <c r="G60" s="2">
        <v>5</v>
      </c>
      <c r="H60" s="2">
        <v>62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customHeight="1" x14ac:dyDescent="0.5">
      <c r="A61" s="2">
        <v>636</v>
      </c>
      <c r="B61" s="2" t="s">
        <v>21</v>
      </c>
      <c r="C61" s="2" t="str">
        <f>VLOOKUP(B61,Sheet2!$A$2:$B$14,2)</f>
        <v>Coffee</v>
      </c>
      <c r="D61" s="2" t="s">
        <v>28</v>
      </c>
      <c r="E61" s="2" t="s">
        <v>10</v>
      </c>
      <c r="F61" s="2">
        <v>40</v>
      </c>
      <c r="G61" s="2">
        <v>39</v>
      </c>
      <c r="H61" s="2">
        <v>190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customHeight="1" x14ac:dyDescent="0.5">
      <c r="A62" s="2">
        <v>262</v>
      </c>
      <c r="B62" s="2" t="s">
        <v>21</v>
      </c>
      <c r="C62" s="2" t="str">
        <f>VLOOKUP(B62,Sheet2!$A$2:$B$14,2)</f>
        <v>Coffee</v>
      </c>
      <c r="D62" s="2" t="s">
        <v>29</v>
      </c>
      <c r="E62" s="2" t="s">
        <v>10</v>
      </c>
      <c r="F62" s="2">
        <v>20</v>
      </c>
      <c r="G62" s="2">
        <v>9</v>
      </c>
      <c r="H62" s="2">
        <v>190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customHeight="1" x14ac:dyDescent="0.5">
      <c r="A63" s="2">
        <v>603</v>
      </c>
      <c r="B63" s="2" t="s">
        <v>20</v>
      </c>
      <c r="C63" s="2" t="str">
        <f>VLOOKUP(B63,Sheet2!$A$2:$B$14,2)</f>
        <v>Coffee</v>
      </c>
      <c r="D63" s="2" t="s">
        <v>38</v>
      </c>
      <c r="E63" s="2" t="s">
        <v>14</v>
      </c>
      <c r="F63" s="2">
        <v>30</v>
      </c>
      <c r="G63" s="2">
        <v>20</v>
      </c>
      <c r="H63" s="2">
        <v>93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 x14ac:dyDescent="0.5">
      <c r="A64" s="2">
        <v>475</v>
      </c>
      <c r="B64" s="2" t="s">
        <v>21</v>
      </c>
      <c r="C64" s="2" t="str">
        <f>VLOOKUP(B64,Sheet2!$A$2:$B$14,2)</f>
        <v>Coffee</v>
      </c>
      <c r="D64" s="2" t="s">
        <v>37</v>
      </c>
      <c r="E64" s="2" t="s">
        <v>14</v>
      </c>
      <c r="F64" s="2">
        <v>130</v>
      </c>
      <c r="G64" s="2">
        <v>115</v>
      </c>
      <c r="H64" s="2">
        <v>310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 x14ac:dyDescent="0.5">
      <c r="A65" s="2">
        <v>603</v>
      </c>
      <c r="B65" s="2" t="s">
        <v>21</v>
      </c>
      <c r="C65" s="2" t="str">
        <f>VLOOKUP(B65,Sheet2!$A$2:$B$14,2)</f>
        <v>Coffee</v>
      </c>
      <c r="D65" s="2" t="s">
        <v>38</v>
      </c>
      <c r="E65" s="2" t="s">
        <v>14</v>
      </c>
      <c r="F65" s="2">
        <v>40</v>
      </c>
      <c r="G65" s="2">
        <v>25</v>
      </c>
      <c r="H65" s="2">
        <v>120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customHeight="1" x14ac:dyDescent="0.5">
      <c r="A66" s="2">
        <v>225</v>
      </c>
      <c r="B66" s="2" t="s">
        <v>21</v>
      </c>
      <c r="C66" s="2" t="str">
        <f>VLOOKUP(B66,Sheet2!$A$2:$B$14,2)</f>
        <v>Coffee</v>
      </c>
      <c r="D66" s="2" t="s">
        <v>30</v>
      </c>
      <c r="E66" s="2" t="s">
        <v>16</v>
      </c>
      <c r="F66" s="2">
        <v>50</v>
      </c>
      <c r="G66" s="2">
        <v>30</v>
      </c>
      <c r="H66" s="2">
        <v>85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 x14ac:dyDescent="0.5">
      <c r="A67" s="2">
        <v>505</v>
      </c>
      <c r="B67" s="2" t="s">
        <v>21</v>
      </c>
      <c r="C67" s="2" t="str">
        <f>VLOOKUP(B67,Sheet2!$A$2:$B$14,2)</f>
        <v>Coffee</v>
      </c>
      <c r="D67" s="2" t="s">
        <v>31</v>
      </c>
      <c r="E67" s="2" t="s">
        <v>16</v>
      </c>
      <c r="F67" s="2">
        <v>50</v>
      </c>
      <c r="G67" s="2">
        <v>26</v>
      </c>
      <c r="H67" s="2">
        <v>120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customHeight="1" x14ac:dyDescent="0.5">
      <c r="A68" s="2">
        <v>580</v>
      </c>
      <c r="B68" s="2" t="s">
        <v>21</v>
      </c>
      <c r="C68" s="2" t="str">
        <f>VLOOKUP(B68,Sheet2!$A$2:$B$14,2)</f>
        <v>Coffee</v>
      </c>
      <c r="D68" s="2" t="s">
        <v>32</v>
      </c>
      <c r="E68" s="2" t="s">
        <v>16</v>
      </c>
      <c r="F68" s="2">
        <v>50</v>
      </c>
      <c r="G68" s="2">
        <v>29</v>
      </c>
      <c r="H68" s="2">
        <v>100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customHeight="1" x14ac:dyDescent="0.5">
      <c r="A69" s="2">
        <v>541</v>
      </c>
      <c r="B69" s="2" t="s">
        <v>20</v>
      </c>
      <c r="C69" s="2" t="str">
        <f>VLOOKUP(B69,Sheet2!$A$2:$B$14,2)</f>
        <v>Coffee</v>
      </c>
      <c r="D69" s="2" t="s">
        <v>34</v>
      </c>
      <c r="E69" s="2" t="s">
        <v>18</v>
      </c>
      <c r="F69" s="2">
        <v>40</v>
      </c>
      <c r="G69" s="2">
        <v>1</v>
      </c>
      <c r="H69" s="2">
        <v>150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customHeight="1" x14ac:dyDescent="0.5">
      <c r="A70" s="2">
        <v>801</v>
      </c>
      <c r="B70" s="2" t="s">
        <v>20</v>
      </c>
      <c r="C70" s="2" t="str">
        <f>VLOOKUP(B70,Sheet2!$A$2:$B$14,2)</f>
        <v>Coffee</v>
      </c>
      <c r="D70" s="2" t="s">
        <v>35</v>
      </c>
      <c r="E70" s="2" t="s">
        <v>18</v>
      </c>
      <c r="F70" s="2">
        <v>80</v>
      </c>
      <c r="G70" s="2">
        <v>47</v>
      </c>
      <c r="H70" s="2">
        <v>170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customHeight="1" x14ac:dyDescent="0.5">
      <c r="A71" s="2">
        <v>702</v>
      </c>
      <c r="B71" s="2" t="s">
        <v>21</v>
      </c>
      <c r="C71" s="2" t="str">
        <f>VLOOKUP(B71,Sheet2!$A$2:$B$14,2)</f>
        <v>Coffee</v>
      </c>
      <c r="D71" s="2" t="s">
        <v>33</v>
      </c>
      <c r="E71" s="2" t="s">
        <v>18</v>
      </c>
      <c r="F71" s="2">
        <v>10</v>
      </c>
      <c r="G71" s="2">
        <v>3</v>
      </c>
      <c r="H71" s="2">
        <v>76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customHeight="1" x14ac:dyDescent="0.5">
      <c r="A72" s="2">
        <v>503</v>
      </c>
      <c r="B72" s="2" t="s">
        <v>21</v>
      </c>
      <c r="C72" s="2" t="str">
        <f>VLOOKUP(B72,Sheet2!$A$2:$B$14,2)</f>
        <v>Coffee</v>
      </c>
      <c r="D72" s="2" t="s">
        <v>34</v>
      </c>
      <c r="E72" s="2" t="s">
        <v>18</v>
      </c>
      <c r="F72" s="2">
        <v>60</v>
      </c>
      <c r="G72" s="2">
        <v>28</v>
      </c>
      <c r="H72" s="2">
        <v>160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customHeight="1" x14ac:dyDescent="0.5">
      <c r="A73" s="2">
        <v>435</v>
      </c>
      <c r="B73" s="2" t="s">
        <v>21</v>
      </c>
      <c r="C73" s="2" t="str">
        <f>VLOOKUP(B73,Sheet2!$A$2:$B$14,2)</f>
        <v>Coffee</v>
      </c>
      <c r="D73" s="2" t="s">
        <v>35</v>
      </c>
      <c r="E73" s="2" t="s">
        <v>18</v>
      </c>
      <c r="F73" s="2">
        <v>70</v>
      </c>
      <c r="G73" s="2">
        <v>30</v>
      </c>
      <c r="H73" s="2">
        <v>130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customHeight="1" x14ac:dyDescent="0.5">
      <c r="A74" s="2">
        <v>206</v>
      </c>
      <c r="B74" s="2" t="s">
        <v>21</v>
      </c>
      <c r="C74" s="2" t="str">
        <f>VLOOKUP(B74,Sheet2!$A$2:$B$14,2)</f>
        <v>Coffee</v>
      </c>
      <c r="D74" s="2" t="s">
        <v>36</v>
      </c>
      <c r="E74" s="2" t="s">
        <v>18</v>
      </c>
      <c r="F74" s="2">
        <v>70</v>
      </c>
      <c r="G74" s="2">
        <v>38</v>
      </c>
      <c r="H74" s="2">
        <v>130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customHeight="1" x14ac:dyDescent="0.5">
      <c r="A75" s="2">
        <v>563</v>
      </c>
      <c r="B75" s="2" t="s">
        <v>24</v>
      </c>
      <c r="C75" s="2" t="str">
        <f>VLOOKUP(B75,Sheet2!$A$2:$B$14,2)</f>
        <v>Espresso</v>
      </c>
      <c r="D75" s="2" t="s">
        <v>27</v>
      </c>
      <c r="E75" s="2" t="s">
        <v>10</v>
      </c>
      <c r="F75" s="2">
        <v>30</v>
      </c>
      <c r="G75" s="2">
        <v>11</v>
      </c>
      <c r="H75" s="2">
        <v>43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customHeight="1" x14ac:dyDescent="0.5">
      <c r="A76" s="2">
        <v>573</v>
      </c>
      <c r="B76" s="2" t="s">
        <v>24</v>
      </c>
      <c r="C76" s="2" t="str">
        <f>VLOOKUP(B76,Sheet2!$A$2:$B$14,2)</f>
        <v>Espresso</v>
      </c>
      <c r="D76" s="2" t="s">
        <v>28</v>
      </c>
      <c r="E76" s="2" t="s">
        <v>10</v>
      </c>
      <c r="F76" s="2">
        <v>70</v>
      </c>
      <c r="G76" s="2">
        <v>48</v>
      </c>
      <c r="H76" s="2">
        <v>123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customHeight="1" x14ac:dyDescent="0.5">
      <c r="A77" s="2">
        <v>414</v>
      </c>
      <c r="B77" s="2" t="s">
        <v>24</v>
      </c>
      <c r="C77" s="2" t="str">
        <f>VLOOKUP(B77,Sheet2!$A$2:$B$14,2)</f>
        <v>Espresso</v>
      </c>
      <c r="D77" s="2" t="s">
        <v>29</v>
      </c>
      <c r="E77" s="2" t="s">
        <v>10</v>
      </c>
      <c r="F77" s="2">
        <v>50</v>
      </c>
      <c r="G77" s="2">
        <v>38</v>
      </c>
      <c r="H77" s="2">
        <v>150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customHeight="1" x14ac:dyDescent="0.5">
      <c r="A78" s="2">
        <v>860</v>
      </c>
      <c r="B78" s="2" t="s">
        <v>24</v>
      </c>
      <c r="C78" s="2" t="str">
        <f>VLOOKUP(B78,Sheet2!$A$2:$B$14,2)</f>
        <v>Espresso</v>
      </c>
      <c r="D78" s="2" t="s">
        <v>37</v>
      </c>
      <c r="E78" s="2" t="s">
        <v>14</v>
      </c>
      <c r="F78" s="2">
        <v>20</v>
      </c>
      <c r="G78" s="2">
        <v>7</v>
      </c>
      <c r="H78" s="2">
        <v>180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customHeight="1" x14ac:dyDescent="0.5">
      <c r="A79" s="2">
        <v>603</v>
      </c>
      <c r="B79" s="2" t="s">
        <v>24</v>
      </c>
      <c r="C79" s="2" t="str">
        <f>VLOOKUP(B79,Sheet2!$A$2:$B$14,2)</f>
        <v>Espresso</v>
      </c>
      <c r="D79" s="2" t="s">
        <v>38</v>
      </c>
      <c r="E79" s="2" t="s">
        <v>14</v>
      </c>
      <c r="F79" s="2">
        <v>0</v>
      </c>
      <c r="G79" s="2">
        <v>10</v>
      </c>
      <c r="H79" s="2">
        <v>90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customHeight="1" x14ac:dyDescent="0.5">
      <c r="A80" s="2">
        <v>603</v>
      </c>
      <c r="B80" s="2" t="s">
        <v>25</v>
      </c>
      <c r="C80" s="2" t="str">
        <f>VLOOKUP(B80,Sheet2!$A$2:$B$14,2)</f>
        <v>Espresso</v>
      </c>
      <c r="D80" s="2" t="s">
        <v>38</v>
      </c>
      <c r="E80" s="2" t="s">
        <v>14</v>
      </c>
      <c r="F80" s="2">
        <v>0</v>
      </c>
      <c r="G80" s="2">
        <v>8</v>
      </c>
      <c r="H80" s="2">
        <v>65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customHeight="1" x14ac:dyDescent="0.5">
      <c r="A81" s="2">
        <v>504</v>
      </c>
      <c r="B81" s="2" t="s">
        <v>26</v>
      </c>
      <c r="C81" s="2" t="str">
        <f>VLOOKUP(B81,Sheet2!$A$2:$B$14,2)</f>
        <v>Espresso</v>
      </c>
      <c r="D81" s="2" t="s">
        <v>30</v>
      </c>
      <c r="E81" s="2" t="s">
        <v>16</v>
      </c>
      <c r="F81" s="2">
        <v>10</v>
      </c>
      <c r="G81" s="2">
        <v>8</v>
      </c>
      <c r="H81" s="2">
        <v>180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customHeight="1" x14ac:dyDescent="0.5">
      <c r="A82" s="2">
        <v>505</v>
      </c>
      <c r="B82" s="2" t="s">
        <v>26</v>
      </c>
      <c r="C82" s="2" t="str">
        <f>VLOOKUP(B82,Sheet2!$A$2:$B$14,2)</f>
        <v>Espresso</v>
      </c>
      <c r="D82" s="2" t="s">
        <v>31</v>
      </c>
      <c r="E82" s="2" t="s">
        <v>16</v>
      </c>
      <c r="F82" s="2">
        <v>0</v>
      </c>
      <c r="G82" s="2">
        <v>8</v>
      </c>
      <c r="H82" s="2">
        <v>65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customHeight="1" x14ac:dyDescent="0.5">
      <c r="A83" s="2">
        <v>405</v>
      </c>
      <c r="B83" s="2" t="s">
        <v>26</v>
      </c>
      <c r="C83" s="2" t="str">
        <f>VLOOKUP(B83,Sheet2!$A$2:$B$14,2)</f>
        <v>Espresso</v>
      </c>
      <c r="D83" s="2" t="s">
        <v>32</v>
      </c>
      <c r="E83" s="2" t="s">
        <v>16</v>
      </c>
      <c r="F83" s="2">
        <v>70</v>
      </c>
      <c r="G83" s="2">
        <v>66</v>
      </c>
      <c r="H83" s="2">
        <v>200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customHeight="1" x14ac:dyDescent="0.5">
      <c r="A84" s="2">
        <v>337</v>
      </c>
      <c r="B84" s="2" t="s">
        <v>24</v>
      </c>
      <c r="C84" s="2" t="str">
        <f>VLOOKUP(B84,Sheet2!$A$2:$B$14,2)</f>
        <v>Espresso</v>
      </c>
      <c r="D84" s="2" t="s">
        <v>30</v>
      </c>
      <c r="E84" s="2" t="s">
        <v>16</v>
      </c>
      <c r="F84" s="2">
        <v>80</v>
      </c>
      <c r="G84" s="2">
        <v>70</v>
      </c>
      <c r="H84" s="2">
        <v>180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customHeight="1" x14ac:dyDescent="0.5">
      <c r="A85" s="2">
        <v>505</v>
      </c>
      <c r="B85" s="2" t="s">
        <v>24</v>
      </c>
      <c r="C85" s="2" t="str">
        <f>VLOOKUP(B85,Sheet2!$A$2:$B$14,2)</f>
        <v>Espresso</v>
      </c>
      <c r="D85" s="2" t="s">
        <v>31</v>
      </c>
      <c r="E85" s="2" t="s">
        <v>16</v>
      </c>
      <c r="F85" s="2">
        <v>10</v>
      </c>
      <c r="G85" s="2">
        <v>10</v>
      </c>
      <c r="H85" s="2">
        <v>90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customHeight="1" x14ac:dyDescent="0.5">
      <c r="A86" s="2">
        <v>405</v>
      </c>
      <c r="B86" s="2" t="s">
        <v>24</v>
      </c>
      <c r="C86" s="2" t="str">
        <f>VLOOKUP(B86,Sheet2!$A$2:$B$14,2)</f>
        <v>Espresso</v>
      </c>
      <c r="D86" s="2" t="s">
        <v>32</v>
      </c>
      <c r="E86" s="2" t="s">
        <v>16</v>
      </c>
      <c r="F86" s="2">
        <v>40</v>
      </c>
      <c r="G86" s="2">
        <v>28</v>
      </c>
      <c r="H86" s="2">
        <v>80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customHeight="1" x14ac:dyDescent="0.5">
      <c r="A87" s="2">
        <v>775</v>
      </c>
      <c r="B87" s="2" t="s">
        <v>26</v>
      </c>
      <c r="C87" s="2" t="str">
        <f>VLOOKUP(B87,Sheet2!$A$2:$B$14,2)</f>
        <v>Espresso</v>
      </c>
      <c r="D87" s="2" t="s">
        <v>33</v>
      </c>
      <c r="E87" s="2" t="s">
        <v>18</v>
      </c>
      <c r="F87" s="2">
        <v>20</v>
      </c>
      <c r="G87" s="2">
        <v>11</v>
      </c>
      <c r="H87" s="2">
        <v>43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customHeight="1" x14ac:dyDescent="0.5">
      <c r="A88" s="2">
        <v>503</v>
      </c>
      <c r="B88" s="2" t="s">
        <v>26</v>
      </c>
      <c r="C88" s="2" t="str">
        <f>VLOOKUP(B88,Sheet2!$A$2:$B$14,2)</f>
        <v>Espresso</v>
      </c>
      <c r="D88" s="2" t="s">
        <v>34</v>
      </c>
      <c r="E88" s="2" t="s">
        <v>18</v>
      </c>
      <c r="F88" s="2">
        <v>20</v>
      </c>
      <c r="G88" s="2">
        <v>16</v>
      </c>
      <c r="H88" s="2">
        <v>130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customHeight="1" x14ac:dyDescent="0.5">
      <c r="A89" s="2">
        <v>435</v>
      </c>
      <c r="B89" s="2" t="s">
        <v>26</v>
      </c>
      <c r="C89" s="2" t="str">
        <f>VLOOKUP(B89,Sheet2!$A$2:$B$14,2)</f>
        <v>Espresso</v>
      </c>
      <c r="D89" s="2" t="s">
        <v>35</v>
      </c>
      <c r="E89" s="2" t="s">
        <v>18</v>
      </c>
      <c r="F89" s="2">
        <v>40</v>
      </c>
      <c r="G89" s="2">
        <v>44</v>
      </c>
      <c r="H89" s="2">
        <v>114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customHeight="1" x14ac:dyDescent="0.5">
      <c r="A90" s="2">
        <v>425</v>
      </c>
      <c r="B90" s="2" t="s">
        <v>26</v>
      </c>
      <c r="C90" s="2" t="str">
        <f>VLOOKUP(B90,Sheet2!$A$2:$B$14,2)</f>
        <v>Espresso</v>
      </c>
      <c r="D90" s="2" t="s">
        <v>36</v>
      </c>
      <c r="E90" s="2" t="s">
        <v>18</v>
      </c>
      <c r="F90" s="2">
        <v>40</v>
      </c>
      <c r="G90" s="2">
        <v>35</v>
      </c>
      <c r="H90" s="2">
        <v>110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5">
      <c r="A91" s="2">
        <v>702</v>
      </c>
      <c r="B91" s="2" t="s">
        <v>24</v>
      </c>
      <c r="C91" s="2" t="str">
        <f>VLOOKUP(B91,Sheet2!$A$2:$B$14,2)</f>
        <v>Espresso</v>
      </c>
      <c r="D91" s="2" t="s">
        <v>33</v>
      </c>
      <c r="E91" s="2" t="s">
        <v>18</v>
      </c>
      <c r="F91" s="2">
        <v>20</v>
      </c>
      <c r="G91" s="2">
        <v>10</v>
      </c>
      <c r="H91" s="2">
        <v>45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customHeight="1" x14ac:dyDescent="0.5">
      <c r="A92" s="2">
        <v>503</v>
      </c>
      <c r="B92" s="2" t="s">
        <v>24</v>
      </c>
      <c r="C92" s="2" t="str">
        <f>VLOOKUP(B92,Sheet2!$A$2:$B$14,2)</f>
        <v>Espresso</v>
      </c>
      <c r="D92" s="2" t="s">
        <v>34</v>
      </c>
      <c r="E92" s="2" t="s">
        <v>18</v>
      </c>
      <c r="F92" s="2">
        <v>50</v>
      </c>
      <c r="G92" s="2">
        <v>33</v>
      </c>
      <c r="H92" s="2">
        <v>140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customHeight="1" x14ac:dyDescent="0.5">
      <c r="A93" s="2">
        <v>435</v>
      </c>
      <c r="B93" s="2" t="s">
        <v>24</v>
      </c>
      <c r="C93" s="2" t="str">
        <f>VLOOKUP(B93,Sheet2!$A$2:$B$14,2)</f>
        <v>Espresso</v>
      </c>
      <c r="D93" s="2" t="s">
        <v>35</v>
      </c>
      <c r="E93" s="2" t="s">
        <v>18</v>
      </c>
      <c r="F93" s="2">
        <v>40</v>
      </c>
      <c r="G93" s="2">
        <v>34</v>
      </c>
      <c r="H93" s="2">
        <v>112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customHeight="1" x14ac:dyDescent="0.5">
      <c r="A94" s="2">
        <v>253</v>
      </c>
      <c r="B94" s="2" t="s">
        <v>24</v>
      </c>
      <c r="C94" s="2" t="str">
        <f>VLOOKUP(B94,Sheet2!$A$2:$B$14,2)</f>
        <v>Espresso</v>
      </c>
      <c r="D94" s="2" t="s">
        <v>36</v>
      </c>
      <c r="E94" s="2" t="s">
        <v>18</v>
      </c>
      <c r="F94" s="2">
        <v>20</v>
      </c>
      <c r="G94" s="2">
        <v>13</v>
      </c>
      <c r="H94" s="2">
        <v>120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customHeight="1" x14ac:dyDescent="0.5">
      <c r="A95" s="2">
        <v>970</v>
      </c>
      <c r="B95" s="2" t="s">
        <v>39</v>
      </c>
      <c r="C95" s="2" t="str">
        <f>VLOOKUP(B95,Sheet2!$A$2:$B$14,2)</f>
        <v>Herbal Tea</v>
      </c>
      <c r="D95" s="2" t="s">
        <v>9</v>
      </c>
      <c r="E95" s="2" t="s">
        <v>10</v>
      </c>
      <c r="F95" s="2">
        <v>110</v>
      </c>
      <c r="G95" s="2">
        <v>99</v>
      </c>
      <c r="H95" s="2">
        <v>341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customHeight="1" x14ac:dyDescent="0.5">
      <c r="A96" s="2">
        <v>312</v>
      </c>
      <c r="B96" s="2" t="s">
        <v>39</v>
      </c>
      <c r="C96" s="2" t="str">
        <f>VLOOKUP(B96,Sheet2!$A$2:$B$14,2)</f>
        <v>Herbal Tea</v>
      </c>
      <c r="D96" s="2" t="s">
        <v>11</v>
      </c>
      <c r="E96" s="2" t="s">
        <v>10</v>
      </c>
      <c r="F96" s="2">
        <v>100</v>
      </c>
      <c r="G96" s="2">
        <v>95</v>
      </c>
      <c r="H96" s="2">
        <v>219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customHeight="1" x14ac:dyDescent="0.5">
      <c r="A97" s="2">
        <v>937</v>
      </c>
      <c r="B97" s="2" t="s">
        <v>39</v>
      </c>
      <c r="C97" s="2" t="str">
        <f>VLOOKUP(B97,Sheet2!$A$2:$B$14,2)</f>
        <v>Herbal Tea</v>
      </c>
      <c r="D97" s="2" t="s">
        <v>12</v>
      </c>
      <c r="E97" s="2" t="s">
        <v>10</v>
      </c>
      <c r="F97" s="2">
        <v>50</v>
      </c>
      <c r="G97" s="2">
        <v>29</v>
      </c>
      <c r="H97" s="2">
        <v>80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customHeight="1" x14ac:dyDescent="0.5">
      <c r="A98" s="2">
        <v>719</v>
      </c>
      <c r="B98" s="2" t="s">
        <v>40</v>
      </c>
      <c r="C98" s="2" t="str">
        <f>VLOOKUP(B98,Sheet2!$A$2:$B$14,2)</f>
        <v>Herbal Tea</v>
      </c>
      <c r="D98" s="2" t="s">
        <v>9</v>
      </c>
      <c r="E98" s="2" t="s">
        <v>10</v>
      </c>
      <c r="F98" s="2">
        <v>20</v>
      </c>
      <c r="G98" s="2">
        <v>0</v>
      </c>
      <c r="H98" s="2">
        <v>150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customHeight="1" x14ac:dyDescent="0.5">
      <c r="A99" s="2">
        <v>630</v>
      </c>
      <c r="B99" s="2" t="s">
        <v>40</v>
      </c>
      <c r="C99" s="2" t="str">
        <f>VLOOKUP(B99,Sheet2!$A$2:$B$14,2)</f>
        <v>Herbal Tea</v>
      </c>
      <c r="D99" s="2" t="s">
        <v>11</v>
      </c>
      <c r="E99" s="2" t="s">
        <v>10</v>
      </c>
      <c r="F99" s="2">
        <v>60</v>
      </c>
      <c r="G99" s="2">
        <v>68</v>
      </c>
      <c r="H99" s="2">
        <v>190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customHeight="1" x14ac:dyDescent="0.5">
      <c r="A100" s="2">
        <v>740</v>
      </c>
      <c r="B100" s="2" t="s">
        <v>40</v>
      </c>
      <c r="C100" s="2" t="str">
        <f>VLOOKUP(B100,Sheet2!$A$2:$B$14,2)</f>
        <v>Herbal Tea</v>
      </c>
      <c r="D100" s="2" t="s">
        <v>12</v>
      </c>
      <c r="E100" s="2" t="s">
        <v>10</v>
      </c>
      <c r="F100" s="2">
        <v>50</v>
      </c>
      <c r="G100" s="2">
        <v>29</v>
      </c>
      <c r="H100" s="2">
        <v>80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customHeight="1" x14ac:dyDescent="0.5">
      <c r="A101" s="2">
        <v>970</v>
      </c>
      <c r="B101" s="2" t="s">
        <v>41</v>
      </c>
      <c r="C101" s="2" t="str">
        <f>VLOOKUP(B101,Sheet2!$A$2:$B$14,2)</f>
        <v>Herbal Tea</v>
      </c>
      <c r="D101" s="2" t="s">
        <v>9</v>
      </c>
      <c r="E101" s="2" t="s">
        <v>10</v>
      </c>
      <c r="F101" s="2">
        <v>40</v>
      </c>
      <c r="G101" s="2">
        <v>33</v>
      </c>
      <c r="H101" s="2">
        <v>140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customHeight="1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customHeight="1" x14ac:dyDescent="0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customHeight="1" x14ac:dyDescent="0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customHeight="1" x14ac:dyDescent="0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customHeight="1" x14ac:dyDescent="0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customHeight="1" x14ac:dyDescent="0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customHeight="1" x14ac:dyDescent="0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customHeight="1" x14ac:dyDescent="0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customHeight="1" x14ac:dyDescent="0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customHeight="1" x14ac:dyDescent="0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customHeight="1" x14ac:dyDescent="0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customHeight="1" x14ac:dyDescent="0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customHeight="1" x14ac:dyDescent="0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customHeight="1" x14ac:dyDescent="0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customHeight="1" x14ac:dyDescent="0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customHeight="1" x14ac:dyDescent="0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customHeight="1" x14ac:dyDescent="0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customHeight="1" x14ac:dyDescent="0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customHeight="1" x14ac:dyDescent="0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customHeight="1" x14ac:dyDescent="0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customHeight="1" x14ac:dyDescent="0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customHeight="1" x14ac:dyDescent="0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customHeight="1" x14ac:dyDescent="0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customHeight="1" x14ac:dyDescent="0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customHeight="1" x14ac:dyDescent="0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customHeight="1" x14ac:dyDescent="0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customHeight="1" x14ac:dyDescent="0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customHeight="1" x14ac:dyDescent="0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customHeight="1" x14ac:dyDescent="0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customHeight="1" x14ac:dyDescent="0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customHeight="1" x14ac:dyDescent="0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customHeight="1" x14ac:dyDescent="0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customHeight="1" x14ac:dyDescent="0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customHeight="1" x14ac:dyDescent="0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customHeight="1" x14ac:dyDescent="0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customHeight="1" x14ac:dyDescent="0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customHeight="1" x14ac:dyDescent="0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customHeight="1" x14ac:dyDescent="0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customHeight="1" x14ac:dyDescent="0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customHeight="1" x14ac:dyDescent="0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" customHeight="1" x14ac:dyDescent="0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" customHeight="1" x14ac:dyDescent="0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" customHeight="1" x14ac:dyDescent="0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" customHeight="1" x14ac:dyDescent="0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" customHeight="1" x14ac:dyDescent="0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" customHeight="1" x14ac:dyDescent="0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" customHeight="1" x14ac:dyDescent="0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" customHeight="1" x14ac:dyDescent="0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" customHeight="1" x14ac:dyDescent="0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" customHeight="1" x14ac:dyDescent="0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" customHeight="1" x14ac:dyDescent="0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" customHeight="1" x14ac:dyDescent="0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" customHeight="1" x14ac:dyDescent="0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" customHeight="1" x14ac:dyDescent="0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" customHeight="1" x14ac:dyDescent="0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" customHeight="1" x14ac:dyDescent="0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" customHeight="1" x14ac:dyDescent="0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" customHeight="1" x14ac:dyDescent="0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" customHeight="1" x14ac:dyDescent="0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" customHeight="1" x14ac:dyDescent="0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" customHeight="1" x14ac:dyDescent="0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" customHeight="1" x14ac:dyDescent="0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" customHeight="1" x14ac:dyDescent="0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" customHeight="1" x14ac:dyDescent="0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" customHeight="1" x14ac:dyDescent="0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" customHeight="1" x14ac:dyDescent="0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" customHeight="1" x14ac:dyDescent="0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" customHeight="1" x14ac:dyDescent="0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" customHeight="1" x14ac:dyDescent="0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" customHeight="1" x14ac:dyDescent="0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" customHeight="1" x14ac:dyDescent="0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" customHeight="1" x14ac:dyDescent="0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" customHeight="1" x14ac:dyDescent="0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" customHeight="1" x14ac:dyDescent="0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" customHeight="1" x14ac:dyDescent="0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" customHeight="1" x14ac:dyDescent="0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" customHeight="1" x14ac:dyDescent="0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" customHeight="1" x14ac:dyDescent="0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" customHeight="1" x14ac:dyDescent="0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" customHeight="1" x14ac:dyDescent="0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" customHeight="1" x14ac:dyDescent="0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" customHeight="1" x14ac:dyDescent="0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" customHeight="1" x14ac:dyDescent="0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" customHeight="1" x14ac:dyDescent="0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" customHeight="1" x14ac:dyDescent="0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" customHeight="1" x14ac:dyDescent="0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" customHeight="1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" customHeight="1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" customHeight="1" x14ac:dyDescent="0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" customHeight="1" x14ac:dyDescent="0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" customHeight="1" x14ac:dyDescent="0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" customHeight="1" x14ac:dyDescent="0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" customHeight="1" x14ac:dyDescent="0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" customHeight="1" x14ac:dyDescent="0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" customHeight="1" x14ac:dyDescent="0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" customHeight="1" x14ac:dyDescent="0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" customHeight="1" x14ac:dyDescent="0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" customHeight="1" x14ac:dyDescent="0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" customHeight="1" x14ac:dyDescent="0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" customHeight="1" x14ac:dyDescent="0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" customHeight="1" x14ac:dyDescent="0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" customHeight="1" x14ac:dyDescent="0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" customHeight="1" x14ac:dyDescent="0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" customHeight="1" x14ac:dyDescent="0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" customHeight="1" x14ac:dyDescent="0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" customHeight="1" x14ac:dyDescent="0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" customHeight="1" x14ac:dyDescent="0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" customHeight="1" x14ac:dyDescent="0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" customHeight="1" x14ac:dyDescent="0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" customHeight="1" x14ac:dyDescent="0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" customHeight="1" x14ac:dyDescent="0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" customHeight="1" x14ac:dyDescent="0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" customHeight="1" x14ac:dyDescent="0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" customHeight="1" x14ac:dyDescent="0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" customHeight="1" x14ac:dyDescent="0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" customHeight="1" x14ac:dyDescent="0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" customHeight="1" x14ac:dyDescent="0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" customHeight="1" x14ac:dyDescent="0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" customHeight="1" x14ac:dyDescent="0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" customHeight="1" x14ac:dyDescent="0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" customHeight="1" x14ac:dyDescent="0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" customHeight="1" x14ac:dyDescent="0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" customHeight="1" x14ac:dyDescent="0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" customHeight="1" x14ac:dyDescent="0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" customHeight="1" x14ac:dyDescent="0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" customHeight="1" x14ac:dyDescent="0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" customHeight="1" x14ac:dyDescent="0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" customHeight="1" x14ac:dyDescent="0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" customHeight="1" x14ac:dyDescent="0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" customHeight="1" x14ac:dyDescent="0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" customHeight="1" x14ac:dyDescent="0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" customHeight="1" x14ac:dyDescent="0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" customHeight="1" x14ac:dyDescent="0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" customHeight="1" x14ac:dyDescent="0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" customHeight="1" x14ac:dyDescent="0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" customHeight="1" x14ac:dyDescent="0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" customHeight="1" x14ac:dyDescent="0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" customHeight="1" x14ac:dyDescent="0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" customHeight="1" x14ac:dyDescent="0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" customHeight="1" x14ac:dyDescent="0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" customHeight="1" x14ac:dyDescent="0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" customHeight="1" x14ac:dyDescent="0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" customHeight="1" x14ac:dyDescent="0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" customHeight="1" x14ac:dyDescent="0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" customHeight="1" x14ac:dyDescent="0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" customHeight="1" x14ac:dyDescent="0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" customHeight="1" x14ac:dyDescent="0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" customHeight="1" x14ac:dyDescent="0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" customHeight="1" x14ac:dyDescent="0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" customHeight="1" x14ac:dyDescent="0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" customHeight="1" x14ac:dyDescent="0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" customHeight="1" x14ac:dyDescent="0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" customHeight="1" x14ac:dyDescent="0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" customHeight="1" x14ac:dyDescent="0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" customHeight="1" x14ac:dyDescent="0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" customHeight="1" x14ac:dyDescent="0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" customHeight="1" x14ac:dyDescent="0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" customHeight="1" x14ac:dyDescent="0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" customHeight="1" x14ac:dyDescent="0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" customHeight="1" x14ac:dyDescent="0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" customHeight="1" x14ac:dyDescent="0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" customHeight="1" x14ac:dyDescent="0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" customHeight="1" x14ac:dyDescent="0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" customHeight="1" x14ac:dyDescent="0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" customHeight="1" x14ac:dyDescent="0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" customHeight="1" x14ac:dyDescent="0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" customHeight="1" x14ac:dyDescent="0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" customHeight="1" x14ac:dyDescent="0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" customHeight="1" x14ac:dyDescent="0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" customHeight="1" x14ac:dyDescent="0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" customHeight="1" x14ac:dyDescent="0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" customHeight="1" x14ac:dyDescent="0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" customHeight="1" x14ac:dyDescent="0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" customHeight="1" x14ac:dyDescent="0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" customHeight="1" x14ac:dyDescent="0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" customHeight="1" x14ac:dyDescent="0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" customHeight="1" x14ac:dyDescent="0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" customHeight="1" x14ac:dyDescent="0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" customHeight="1" x14ac:dyDescent="0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" customHeight="1" x14ac:dyDescent="0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" customHeight="1" x14ac:dyDescent="0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" customHeight="1" x14ac:dyDescent="0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" customHeight="1" x14ac:dyDescent="0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" customHeight="1" x14ac:dyDescent="0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" customHeight="1" x14ac:dyDescent="0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" customHeight="1" x14ac:dyDescent="0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" customHeight="1" x14ac:dyDescent="0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" customHeight="1" x14ac:dyDescent="0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" customHeight="1" x14ac:dyDescent="0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" customHeight="1" x14ac:dyDescent="0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" customHeight="1" x14ac:dyDescent="0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" customHeight="1" x14ac:dyDescent="0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" customHeight="1" x14ac:dyDescent="0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" customHeight="1" x14ac:dyDescent="0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" customHeight="1" x14ac:dyDescent="0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" customHeight="1" x14ac:dyDescent="0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" customHeight="1" x14ac:dyDescent="0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" customHeight="1" x14ac:dyDescent="0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" customHeight="1" x14ac:dyDescent="0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" customHeight="1" x14ac:dyDescent="0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" customHeight="1" x14ac:dyDescent="0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" customHeight="1" x14ac:dyDescent="0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" customHeight="1" x14ac:dyDescent="0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" customHeight="1" x14ac:dyDescent="0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" customHeight="1" x14ac:dyDescent="0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" customHeight="1" x14ac:dyDescent="0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" customHeight="1" x14ac:dyDescent="0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" customHeight="1" x14ac:dyDescent="0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" customHeight="1" x14ac:dyDescent="0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" customHeight="1" x14ac:dyDescent="0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" customHeight="1" x14ac:dyDescent="0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" customHeight="1" x14ac:dyDescent="0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" customHeight="1" x14ac:dyDescent="0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" customHeight="1" x14ac:dyDescent="0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" customHeight="1" x14ac:dyDescent="0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" customHeight="1" x14ac:dyDescent="0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" customHeight="1" x14ac:dyDescent="0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" customHeight="1" x14ac:dyDescent="0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" customHeight="1" x14ac:dyDescent="0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" customHeight="1" x14ac:dyDescent="0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" customHeight="1" x14ac:dyDescent="0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" customHeight="1" x14ac:dyDescent="0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" customHeight="1" x14ac:dyDescent="0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" customHeight="1" x14ac:dyDescent="0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" customHeight="1" x14ac:dyDescent="0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" customHeight="1" x14ac:dyDescent="0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" customHeight="1" x14ac:dyDescent="0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" customHeight="1" x14ac:dyDescent="0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" customHeight="1" x14ac:dyDescent="0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" customHeight="1" x14ac:dyDescent="0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" customHeight="1" x14ac:dyDescent="0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" customHeight="1" x14ac:dyDescent="0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" customHeight="1" x14ac:dyDescent="0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" customHeight="1" x14ac:dyDescent="0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" customHeight="1" x14ac:dyDescent="0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" customHeight="1" x14ac:dyDescent="0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" customHeight="1" x14ac:dyDescent="0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" customHeight="1" x14ac:dyDescent="0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" customHeight="1" x14ac:dyDescent="0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" customHeight="1" x14ac:dyDescent="0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" customHeight="1" x14ac:dyDescent="0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" customHeight="1" x14ac:dyDescent="0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" customHeight="1" x14ac:dyDescent="0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" customHeight="1" x14ac:dyDescent="0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" customHeight="1" x14ac:dyDescent="0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" customHeight="1" x14ac:dyDescent="0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" customHeight="1" x14ac:dyDescent="0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" customHeight="1" x14ac:dyDescent="0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" customHeight="1" x14ac:dyDescent="0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" customHeight="1" x14ac:dyDescent="0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" customHeight="1" x14ac:dyDescent="0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" customHeight="1" x14ac:dyDescent="0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" customHeight="1" x14ac:dyDescent="0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" customHeight="1" x14ac:dyDescent="0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" customHeight="1" x14ac:dyDescent="0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" customHeight="1" x14ac:dyDescent="0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" customHeight="1" x14ac:dyDescent="0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" customHeight="1" x14ac:dyDescent="0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" customHeight="1" x14ac:dyDescent="0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" customHeight="1" x14ac:dyDescent="0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" customHeight="1" x14ac:dyDescent="0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" customHeight="1" x14ac:dyDescent="0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" customHeight="1" x14ac:dyDescent="0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" customHeight="1" x14ac:dyDescent="0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" customHeight="1" x14ac:dyDescent="0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" customHeight="1" x14ac:dyDescent="0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" customHeight="1" x14ac:dyDescent="0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" customHeight="1" x14ac:dyDescent="0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" customHeight="1" x14ac:dyDescent="0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" customHeight="1" x14ac:dyDescent="0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" customHeight="1" x14ac:dyDescent="0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" customHeight="1" x14ac:dyDescent="0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" customHeight="1" x14ac:dyDescent="0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" customHeight="1" x14ac:dyDescent="0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" customHeight="1" x14ac:dyDescent="0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" customHeight="1" x14ac:dyDescent="0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" customHeight="1" x14ac:dyDescent="0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" customHeight="1" x14ac:dyDescent="0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" customHeight="1" x14ac:dyDescent="0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" customHeight="1" x14ac:dyDescent="0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" customHeight="1" x14ac:dyDescent="0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" customHeight="1" x14ac:dyDescent="0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" customHeight="1" x14ac:dyDescent="0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" customHeight="1" x14ac:dyDescent="0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" customHeight="1" x14ac:dyDescent="0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" customHeight="1" x14ac:dyDescent="0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" customHeight="1" x14ac:dyDescent="0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" customHeight="1" x14ac:dyDescent="0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" customHeight="1" x14ac:dyDescent="0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" customHeight="1" x14ac:dyDescent="0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" customHeight="1" x14ac:dyDescent="0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" customHeight="1" x14ac:dyDescent="0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" customHeight="1" x14ac:dyDescent="0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" customHeight="1" x14ac:dyDescent="0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" customHeight="1" x14ac:dyDescent="0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" customHeight="1" x14ac:dyDescent="0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" customHeight="1" x14ac:dyDescent="0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" customHeight="1" x14ac:dyDescent="0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" customHeight="1" x14ac:dyDescent="0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" customHeight="1" x14ac:dyDescent="0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" customHeight="1" x14ac:dyDescent="0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" customHeight="1" x14ac:dyDescent="0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" customHeight="1" x14ac:dyDescent="0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" customHeight="1" x14ac:dyDescent="0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" customHeight="1" x14ac:dyDescent="0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" customHeight="1" x14ac:dyDescent="0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" customHeight="1" x14ac:dyDescent="0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" customHeight="1" x14ac:dyDescent="0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" customHeight="1" x14ac:dyDescent="0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" customHeight="1" x14ac:dyDescent="0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" customHeight="1" x14ac:dyDescent="0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" customHeight="1" x14ac:dyDescent="0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" customHeight="1" x14ac:dyDescent="0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" customHeight="1" x14ac:dyDescent="0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" customHeight="1" x14ac:dyDescent="0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" customHeight="1" x14ac:dyDescent="0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" customHeight="1" x14ac:dyDescent="0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" customHeight="1" x14ac:dyDescent="0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" customHeight="1" x14ac:dyDescent="0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" customHeight="1" x14ac:dyDescent="0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" customHeight="1" x14ac:dyDescent="0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" customHeight="1" x14ac:dyDescent="0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" customHeight="1" x14ac:dyDescent="0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" customHeight="1" x14ac:dyDescent="0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" customHeight="1" x14ac:dyDescent="0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" customHeight="1" x14ac:dyDescent="0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" customHeight="1" x14ac:dyDescent="0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" customHeight="1" x14ac:dyDescent="0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" customHeight="1" x14ac:dyDescent="0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" customHeight="1" x14ac:dyDescent="0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" customHeight="1" x14ac:dyDescent="0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" customHeight="1" x14ac:dyDescent="0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" customHeight="1" x14ac:dyDescent="0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" customHeight="1" x14ac:dyDescent="0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" customHeight="1" x14ac:dyDescent="0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" customHeight="1" x14ac:dyDescent="0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" customHeight="1" x14ac:dyDescent="0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" customHeight="1" x14ac:dyDescent="0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" customHeight="1" x14ac:dyDescent="0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" customHeight="1" x14ac:dyDescent="0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" customHeight="1" x14ac:dyDescent="0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" customHeight="1" x14ac:dyDescent="0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" customHeight="1" x14ac:dyDescent="0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" customHeight="1" x14ac:dyDescent="0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" customHeight="1" x14ac:dyDescent="0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" customHeight="1" x14ac:dyDescent="0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" customHeight="1" x14ac:dyDescent="0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" customHeight="1" x14ac:dyDescent="0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" customHeight="1" x14ac:dyDescent="0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" customHeight="1" x14ac:dyDescent="0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" customHeight="1" x14ac:dyDescent="0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" customHeight="1" x14ac:dyDescent="0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" customHeight="1" x14ac:dyDescent="0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" customHeight="1" x14ac:dyDescent="0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" customHeight="1" x14ac:dyDescent="0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" customHeight="1" x14ac:dyDescent="0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" customHeight="1" x14ac:dyDescent="0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" customHeight="1" x14ac:dyDescent="0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" customHeight="1" x14ac:dyDescent="0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" customHeight="1" x14ac:dyDescent="0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" customHeight="1" x14ac:dyDescent="0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" customHeight="1" x14ac:dyDescent="0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" customHeight="1" x14ac:dyDescent="0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" customHeight="1" x14ac:dyDescent="0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" customHeight="1" x14ac:dyDescent="0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" customHeight="1" x14ac:dyDescent="0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" customHeight="1" x14ac:dyDescent="0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" customHeight="1" x14ac:dyDescent="0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" customHeight="1" x14ac:dyDescent="0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" customHeight="1" x14ac:dyDescent="0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" customHeight="1" x14ac:dyDescent="0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" customHeight="1" x14ac:dyDescent="0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" customHeight="1" x14ac:dyDescent="0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" customHeight="1" x14ac:dyDescent="0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" customHeight="1" x14ac:dyDescent="0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" customHeight="1" x14ac:dyDescent="0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" customHeight="1" x14ac:dyDescent="0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" customHeight="1" x14ac:dyDescent="0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" customHeight="1" x14ac:dyDescent="0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" customHeight="1" x14ac:dyDescent="0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" customHeight="1" x14ac:dyDescent="0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" customHeight="1" x14ac:dyDescent="0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" customHeight="1" x14ac:dyDescent="0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" customHeight="1" x14ac:dyDescent="0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" customHeight="1" x14ac:dyDescent="0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" customHeight="1" x14ac:dyDescent="0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" customHeight="1" x14ac:dyDescent="0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" customHeight="1" x14ac:dyDescent="0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" customHeight="1" x14ac:dyDescent="0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" customHeight="1" x14ac:dyDescent="0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" customHeight="1" x14ac:dyDescent="0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" customHeight="1" x14ac:dyDescent="0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" customHeight="1" x14ac:dyDescent="0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" customHeight="1" x14ac:dyDescent="0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" customHeight="1" x14ac:dyDescent="0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" customHeight="1" x14ac:dyDescent="0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" customHeight="1" x14ac:dyDescent="0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" customHeight="1" x14ac:dyDescent="0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" customHeight="1" x14ac:dyDescent="0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" customHeight="1" x14ac:dyDescent="0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" customHeight="1" x14ac:dyDescent="0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" customHeight="1" x14ac:dyDescent="0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" customHeight="1" x14ac:dyDescent="0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" customHeight="1" x14ac:dyDescent="0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" customHeight="1" x14ac:dyDescent="0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" customHeight="1" x14ac:dyDescent="0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" customHeight="1" x14ac:dyDescent="0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" customHeight="1" x14ac:dyDescent="0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" customHeight="1" x14ac:dyDescent="0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" customHeight="1" x14ac:dyDescent="0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" customHeight="1" x14ac:dyDescent="0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" customHeight="1" x14ac:dyDescent="0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" customHeight="1" x14ac:dyDescent="0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" customHeight="1" x14ac:dyDescent="0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" customHeight="1" x14ac:dyDescent="0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" customHeight="1" x14ac:dyDescent="0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" customHeight="1" x14ac:dyDescent="0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" customHeight="1" x14ac:dyDescent="0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" customHeight="1" x14ac:dyDescent="0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" customHeight="1" x14ac:dyDescent="0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" customHeight="1" x14ac:dyDescent="0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" customHeight="1" x14ac:dyDescent="0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" customHeight="1" x14ac:dyDescent="0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" customHeight="1" x14ac:dyDescent="0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" customHeight="1" x14ac:dyDescent="0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" customHeight="1" x14ac:dyDescent="0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" customHeight="1" x14ac:dyDescent="0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" customHeight="1" x14ac:dyDescent="0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" customHeight="1" x14ac:dyDescent="0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" customHeight="1" x14ac:dyDescent="0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" customHeight="1" x14ac:dyDescent="0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" customHeight="1" x14ac:dyDescent="0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" customHeight="1" x14ac:dyDescent="0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" customHeight="1" x14ac:dyDescent="0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" customHeight="1" x14ac:dyDescent="0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" customHeight="1" x14ac:dyDescent="0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" customHeight="1" x14ac:dyDescent="0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" customHeight="1" x14ac:dyDescent="0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" customHeight="1" x14ac:dyDescent="0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" customHeight="1" x14ac:dyDescent="0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" customHeight="1" x14ac:dyDescent="0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" customHeight="1" x14ac:dyDescent="0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" customHeight="1" x14ac:dyDescent="0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" customHeight="1" x14ac:dyDescent="0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" customHeight="1" x14ac:dyDescent="0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" customHeight="1" x14ac:dyDescent="0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" customHeight="1" x14ac:dyDescent="0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" customHeight="1" x14ac:dyDescent="0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" customHeight="1" x14ac:dyDescent="0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" customHeight="1" x14ac:dyDescent="0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" customHeight="1" x14ac:dyDescent="0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" customHeight="1" x14ac:dyDescent="0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" customHeight="1" x14ac:dyDescent="0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" customHeight="1" x14ac:dyDescent="0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" customHeight="1" x14ac:dyDescent="0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" customHeight="1" x14ac:dyDescent="0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" customHeight="1" x14ac:dyDescent="0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" customHeight="1" x14ac:dyDescent="0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" customHeight="1" x14ac:dyDescent="0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" customHeight="1" x14ac:dyDescent="0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" customHeight="1" x14ac:dyDescent="0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" customHeight="1" x14ac:dyDescent="0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" customHeight="1" x14ac:dyDescent="0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" customHeight="1" x14ac:dyDescent="0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" customHeight="1" x14ac:dyDescent="0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" customHeight="1" x14ac:dyDescent="0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" customHeight="1" x14ac:dyDescent="0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" customHeight="1" x14ac:dyDescent="0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" customHeight="1" x14ac:dyDescent="0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" customHeight="1" x14ac:dyDescent="0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" customHeight="1" x14ac:dyDescent="0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" customHeight="1" x14ac:dyDescent="0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" customHeight="1" x14ac:dyDescent="0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" customHeight="1" x14ac:dyDescent="0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" customHeight="1" x14ac:dyDescent="0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" customHeight="1" x14ac:dyDescent="0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" customHeight="1" x14ac:dyDescent="0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" customHeight="1" x14ac:dyDescent="0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" customHeight="1" x14ac:dyDescent="0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" customHeight="1" x14ac:dyDescent="0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" customHeight="1" x14ac:dyDescent="0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" customHeight="1" x14ac:dyDescent="0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" customHeight="1" x14ac:dyDescent="0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" customHeight="1" x14ac:dyDescent="0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" customHeight="1" x14ac:dyDescent="0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" customHeight="1" x14ac:dyDescent="0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" customHeight="1" x14ac:dyDescent="0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" customHeight="1" x14ac:dyDescent="0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" customHeight="1" x14ac:dyDescent="0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" customHeight="1" x14ac:dyDescent="0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" customHeight="1" x14ac:dyDescent="0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" customHeight="1" x14ac:dyDescent="0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" customHeight="1" x14ac:dyDescent="0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" customHeight="1" x14ac:dyDescent="0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" customHeight="1" x14ac:dyDescent="0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" customHeight="1" x14ac:dyDescent="0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" customHeight="1" x14ac:dyDescent="0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" customHeight="1" x14ac:dyDescent="0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" customHeight="1" x14ac:dyDescent="0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" customHeight="1" x14ac:dyDescent="0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" customHeight="1" x14ac:dyDescent="0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" customHeight="1" x14ac:dyDescent="0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" customHeight="1" x14ac:dyDescent="0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" customHeight="1" x14ac:dyDescent="0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" customHeight="1" x14ac:dyDescent="0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" customHeight="1" x14ac:dyDescent="0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" customHeight="1" x14ac:dyDescent="0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" customHeight="1" x14ac:dyDescent="0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" customHeight="1" x14ac:dyDescent="0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" customHeight="1" x14ac:dyDescent="0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" customHeight="1" x14ac:dyDescent="0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" customHeight="1" x14ac:dyDescent="0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" customHeight="1" x14ac:dyDescent="0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" customHeight="1" x14ac:dyDescent="0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" customHeight="1" x14ac:dyDescent="0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" customHeight="1" x14ac:dyDescent="0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" customHeight="1" x14ac:dyDescent="0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" customHeight="1" x14ac:dyDescent="0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" customHeight="1" x14ac:dyDescent="0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" customHeight="1" x14ac:dyDescent="0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" customHeight="1" x14ac:dyDescent="0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" customHeight="1" x14ac:dyDescent="0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" customHeight="1" x14ac:dyDescent="0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" customHeight="1" x14ac:dyDescent="0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" customHeight="1" x14ac:dyDescent="0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" customHeight="1" x14ac:dyDescent="0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" customHeight="1" x14ac:dyDescent="0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" customHeight="1" x14ac:dyDescent="0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" customHeight="1" x14ac:dyDescent="0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" customHeight="1" x14ac:dyDescent="0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" customHeight="1" x14ac:dyDescent="0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" customHeight="1" x14ac:dyDescent="0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" customHeight="1" x14ac:dyDescent="0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" customHeight="1" x14ac:dyDescent="0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" customHeight="1" x14ac:dyDescent="0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" customHeight="1" x14ac:dyDescent="0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" customHeight="1" x14ac:dyDescent="0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" customHeight="1" x14ac:dyDescent="0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" customHeight="1" x14ac:dyDescent="0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" customHeight="1" x14ac:dyDescent="0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" customHeight="1" x14ac:dyDescent="0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" customHeight="1" x14ac:dyDescent="0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" customHeight="1" x14ac:dyDescent="0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" customHeight="1" x14ac:dyDescent="0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" customHeight="1" x14ac:dyDescent="0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" customHeight="1" x14ac:dyDescent="0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" customHeight="1" x14ac:dyDescent="0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" customHeight="1" x14ac:dyDescent="0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" customHeight="1" x14ac:dyDescent="0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" customHeight="1" x14ac:dyDescent="0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" customHeight="1" x14ac:dyDescent="0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" customHeight="1" x14ac:dyDescent="0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" customHeight="1" x14ac:dyDescent="0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" customHeight="1" x14ac:dyDescent="0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" customHeight="1" x14ac:dyDescent="0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" customHeight="1" x14ac:dyDescent="0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" customHeight="1" x14ac:dyDescent="0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" customHeight="1" x14ac:dyDescent="0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" customHeight="1" x14ac:dyDescent="0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" customHeight="1" x14ac:dyDescent="0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" customHeight="1" x14ac:dyDescent="0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" customHeight="1" x14ac:dyDescent="0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" customHeight="1" x14ac:dyDescent="0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" customHeight="1" x14ac:dyDescent="0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" customHeight="1" x14ac:dyDescent="0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" customHeight="1" x14ac:dyDescent="0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" customHeight="1" x14ac:dyDescent="0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" customHeight="1" x14ac:dyDescent="0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" customHeight="1" x14ac:dyDescent="0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" customHeight="1" x14ac:dyDescent="0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" customHeight="1" x14ac:dyDescent="0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" customHeight="1" x14ac:dyDescent="0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" customHeight="1" x14ac:dyDescent="0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" customHeight="1" x14ac:dyDescent="0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" customHeight="1" x14ac:dyDescent="0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" customHeight="1" x14ac:dyDescent="0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" customHeight="1" x14ac:dyDescent="0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" customHeight="1" x14ac:dyDescent="0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" customHeight="1" x14ac:dyDescent="0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" customHeight="1" x14ac:dyDescent="0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" customHeight="1" x14ac:dyDescent="0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" customHeight="1" x14ac:dyDescent="0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" customHeight="1" x14ac:dyDescent="0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" customHeight="1" x14ac:dyDescent="0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" customHeight="1" x14ac:dyDescent="0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" customHeight="1" x14ac:dyDescent="0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" customHeight="1" x14ac:dyDescent="0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" customHeight="1" x14ac:dyDescent="0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" customHeight="1" x14ac:dyDescent="0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" customHeight="1" x14ac:dyDescent="0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" customHeight="1" x14ac:dyDescent="0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" customHeight="1" x14ac:dyDescent="0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" customHeight="1" x14ac:dyDescent="0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" customHeight="1" x14ac:dyDescent="0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" customHeight="1" x14ac:dyDescent="0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" customHeight="1" x14ac:dyDescent="0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" customHeight="1" x14ac:dyDescent="0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" customHeight="1" x14ac:dyDescent="0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" customHeight="1" x14ac:dyDescent="0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" customHeight="1" x14ac:dyDescent="0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" customHeight="1" x14ac:dyDescent="0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" customHeight="1" x14ac:dyDescent="0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" customHeight="1" x14ac:dyDescent="0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" customHeight="1" x14ac:dyDescent="0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" customHeight="1" x14ac:dyDescent="0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" customHeight="1" x14ac:dyDescent="0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" customHeight="1" x14ac:dyDescent="0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" customHeight="1" x14ac:dyDescent="0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" customHeight="1" x14ac:dyDescent="0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" customHeight="1" x14ac:dyDescent="0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" customHeight="1" x14ac:dyDescent="0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" customHeight="1" x14ac:dyDescent="0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" customHeight="1" x14ac:dyDescent="0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" customHeight="1" x14ac:dyDescent="0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" customHeight="1" x14ac:dyDescent="0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" customHeight="1" x14ac:dyDescent="0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" customHeight="1" x14ac:dyDescent="0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" customHeight="1" x14ac:dyDescent="0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" customHeight="1" x14ac:dyDescent="0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" customHeight="1" x14ac:dyDescent="0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" customHeight="1" x14ac:dyDescent="0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" customHeight="1" x14ac:dyDescent="0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" customHeight="1" x14ac:dyDescent="0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" customHeight="1" x14ac:dyDescent="0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" customHeight="1" x14ac:dyDescent="0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" customHeight="1" x14ac:dyDescent="0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" customHeight="1" x14ac:dyDescent="0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" customHeight="1" x14ac:dyDescent="0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" customHeight="1" x14ac:dyDescent="0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" customHeight="1" x14ac:dyDescent="0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" customHeight="1" x14ac:dyDescent="0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" customHeight="1" x14ac:dyDescent="0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" customHeight="1" x14ac:dyDescent="0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" customHeight="1" x14ac:dyDescent="0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" customHeight="1" x14ac:dyDescent="0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" customHeight="1" x14ac:dyDescent="0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" customHeight="1" x14ac:dyDescent="0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" customHeight="1" x14ac:dyDescent="0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" customHeight="1" x14ac:dyDescent="0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" customHeight="1" x14ac:dyDescent="0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" customHeight="1" x14ac:dyDescent="0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" customHeight="1" x14ac:dyDescent="0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" customHeight="1" x14ac:dyDescent="0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" customHeight="1" x14ac:dyDescent="0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" customHeight="1" x14ac:dyDescent="0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" customHeight="1" x14ac:dyDescent="0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" customHeight="1" x14ac:dyDescent="0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" customHeight="1" x14ac:dyDescent="0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" customHeight="1" x14ac:dyDescent="0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" customHeight="1" x14ac:dyDescent="0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" customHeight="1" x14ac:dyDescent="0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" customHeight="1" x14ac:dyDescent="0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" customHeight="1" x14ac:dyDescent="0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" customHeight="1" x14ac:dyDescent="0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" customHeight="1" x14ac:dyDescent="0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" customHeight="1" x14ac:dyDescent="0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" customHeight="1" x14ac:dyDescent="0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" customHeight="1" x14ac:dyDescent="0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" customHeight="1" x14ac:dyDescent="0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" customHeight="1" x14ac:dyDescent="0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" customHeight="1" x14ac:dyDescent="0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" customHeight="1" x14ac:dyDescent="0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" customHeight="1" x14ac:dyDescent="0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" customHeight="1" x14ac:dyDescent="0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" customHeight="1" x14ac:dyDescent="0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" customHeight="1" x14ac:dyDescent="0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" customHeight="1" x14ac:dyDescent="0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" customHeight="1" x14ac:dyDescent="0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" customHeight="1" x14ac:dyDescent="0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" customHeight="1" x14ac:dyDescent="0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" customHeight="1" x14ac:dyDescent="0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" customHeight="1" x14ac:dyDescent="0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" customHeight="1" x14ac:dyDescent="0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" customHeight="1" x14ac:dyDescent="0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" customHeight="1" x14ac:dyDescent="0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" customHeight="1" x14ac:dyDescent="0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" customHeight="1" x14ac:dyDescent="0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" customHeight="1" x14ac:dyDescent="0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" customHeight="1" x14ac:dyDescent="0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" customHeight="1" x14ac:dyDescent="0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" customHeight="1" x14ac:dyDescent="0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" customHeight="1" x14ac:dyDescent="0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" customHeight="1" x14ac:dyDescent="0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" customHeight="1" x14ac:dyDescent="0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" customHeight="1" x14ac:dyDescent="0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" customHeight="1" x14ac:dyDescent="0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" customHeight="1" x14ac:dyDescent="0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" customHeight="1" x14ac:dyDescent="0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" customHeight="1" x14ac:dyDescent="0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" customHeight="1" x14ac:dyDescent="0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" customHeight="1" x14ac:dyDescent="0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" customHeight="1" x14ac:dyDescent="0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" customHeight="1" x14ac:dyDescent="0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" customHeight="1" x14ac:dyDescent="0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" customHeight="1" x14ac:dyDescent="0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" customHeight="1" x14ac:dyDescent="0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" customHeight="1" x14ac:dyDescent="0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" customHeight="1" x14ac:dyDescent="0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" customHeight="1" x14ac:dyDescent="0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" customHeight="1" x14ac:dyDescent="0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" customHeight="1" x14ac:dyDescent="0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" customHeight="1" x14ac:dyDescent="0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" customHeight="1" x14ac:dyDescent="0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" customHeight="1" x14ac:dyDescent="0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" customHeight="1" x14ac:dyDescent="0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" customHeight="1" x14ac:dyDescent="0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" customHeight="1" x14ac:dyDescent="0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" customHeight="1" x14ac:dyDescent="0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" customHeight="1" x14ac:dyDescent="0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" customHeight="1" x14ac:dyDescent="0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" customHeight="1" x14ac:dyDescent="0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" customHeight="1" x14ac:dyDescent="0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" customHeight="1" x14ac:dyDescent="0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" customHeight="1" x14ac:dyDescent="0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" customHeight="1" x14ac:dyDescent="0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" customHeight="1" x14ac:dyDescent="0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" customHeight="1" x14ac:dyDescent="0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" customHeight="1" x14ac:dyDescent="0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" customHeight="1" x14ac:dyDescent="0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" customHeight="1" x14ac:dyDescent="0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" customHeight="1" x14ac:dyDescent="0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" customHeight="1" x14ac:dyDescent="0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" customHeight="1" x14ac:dyDescent="0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" customHeight="1" x14ac:dyDescent="0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" customHeight="1" x14ac:dyDescent="0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" customHeight="1" x14ac:dyDescent="0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" customHeight="1" x14ac:dyDescent="0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" customHeight="1" x14ac:dyDescent="0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" customHeight="1" x14ac:dyDescent="0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" customHeight="1" x14ac:dyDescent="0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" customHeight="1" x14ac:dyDescent="0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" customHeight="1" x14ac:dyDescent="0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" customHeight="1" x14ac:dyDescent="0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" customHeight="1" x14ac:dyDescent="0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" customHeight="1" x14ac:dyDescent="0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" customHeight="1" x14ac:dyDescent="0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" customHeight="1" x14ac:dyDescent="0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" customHeight="1" x14ac:dyDescent="0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" customHeight="1" x14ac:dyDescent="0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" customHeight="1" x14ac:dyDescent="0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" customHeight="1" x14ac:dyDescent="0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" customHeight="1" x14ac:dyDescent="0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" customHeight="1" x14ac:dyDescent="0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" customHeight="1" x14ac:dyDescent="0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" customHeight="1" x14ac:dyDescent="0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" customHeight="1" x14ac:dyDescent="0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" customHeight="1" x14ac:dyDescent="0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" customHeight="1" x14ac:dyDescent="0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" customHeight="1" x14ac:dyDescent="0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" customHeight="1" x14ac:dyDescent="0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" customHeight="1" x14ac:dyDescent="0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" customHeight="1" x14ac:dyDescent="0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" customHeight="1" x14ac:dyDescent="0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" customHeight="1" x14ac:dyDescent="0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" customHeight="1" x14ac:dyDescent="0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" customHeight="1" x14ac:dyDescent="0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" customHeight="1" x14ac:dyDescent="0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" customHeight="1" x14ac:dyDescent="0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" customHeight="1" x14ac:dyDescent="0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" customHeight="1" x14ac:dyDescent="0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" customHeight="1" x14ac:dyDescent="0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" customHeight="1" x14ac:dyDescent="0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" customHeight="1" x14ac:dyDescent="0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" customHeight="1" x14ac:dyDescent="0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" customHeight="1" x14ac:dyDescent="0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" customHeight="1" x14ac:dyDescent="0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" customHeight="1" x14ac:dyDescent="0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" customHeight="1" x14ac:dyDescent="0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" customHeight="1" x14ac:dyDescent="0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" customHeight="1" x14ac:dyDescent="0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" customHeight="1" x14ac:dyDescent="0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" customHeight="1" x14ac:dyDescent="0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" customHeight="1" x14ac:dyDescent="0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" customHeight="1" x14ac:dyDescent="0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" customHeight="1" x14ac:dyDescent="0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" customHeight="1" x14ac:dyDescent="0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" customHeight="1" x14ac:dyDescent="0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" customHeight="1" x14ac:dyDescent="0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" customHeight="1" x14ac:dyDescent="0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1" customHeight="1" x14ac:dyDescent="0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1" customHeight="1" x14ac:dyDescent="0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1" customHeight="1" x14ac:dyDescent="0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3" sqref="D3"/>
    </sheetView>
  </sheetViews>
  <sheetFormatPr defaultColWidth="14.453125" defaultRowHeight="14.5" x14ac:dyDescent="0.35"/>
  <cols>
    <col min="1" max="2" width="25.453125" customWidth="1"/>
    <col min="3" max="3" width="10.81640625" customWidth="1"/>
    <col min="4" max="4" width="19.81640625" customWidth="1"/>
    <col min="5" max="6" width="10.81640625" customWidth="1"/>
    <col min="7" max="26" width="10.7265625" customWidth="1"/>
  </cols>
  <sheetData>
    <row r="1" spans="1:26" ht="25.5" customHeight="1" x14ac:dyDescent="0.6">
      <c r="A1" s="3" t="s">
        <v>1</v>
      </c>
      <c r="B1" s="4" t="s">
        <v>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5.5" customHeight="1" x14ac:dyDescent="0.6">
      <c r="A2" s="6" t="s">
        <v>20</v>
      </c>
      <c r="B2" s="7" t="s">
        <v>42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 x14ac:dyDescent="0.6">
      <c r="A3" s="6" t="s">
        <v>26</v>
      </c>
      <c r="B3" s="7" t="s">
        <v>43</v>
      </c>
      <c r="C3" s="5"/>
      <c r="D3" s="6" t="s">
        <v>39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5.5" customHeight="1" x14ac:dyDescent="0.6">
      <c r="A4" s="6" t="s">
        <v>24</v>
      </c>
      <c r="B4" s="7" t="s">
        <v>43</v>
      </c>
      <c r="C4" s="5"/>
      <c r="D4" s="5" t="str">
        <f>VLOOKUP(D3,A2:B14,2)</f>
        <v>Herbal Tea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 x14ac:dyDescent="0.6">
      <c r="A5" s="6" t="s">
        <v>39</v>
      </c>
      <c r="B5" s="7" t="s">
        <v>44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customHeight="1" x14ac:dyDescent="0.6">
      <c r="A6" s="6" t="s">
        <v>21</v>
      </c>
      <c r="B6" s="7" t="s">
        <v>42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x14ac:dyDescent="0.6">
      <c r="A7" s="6" t="s">
        <v>45</v>
      </c>
      <c r="B7" s="7" t="s">
        <v>46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 x14ac:dyDescent="0.6">
      <c r="A8" s="6" t="s">
        <v>19</v>
      </c>
      <c r="B8" s="7" t="s">
        <v>43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5.5" customHeight="1" x14ac:dyDescent="0.6">
      <c r="A9" s="6" t="s">
        <v>8</v>
      </c>
      <c r="B9" s="7" t="s">
        <v>42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customHeight="1" x14ac:dyDescent="0.6">
      <c r="A10" s="6" t="s">
        <v>47</v>
      </c>
      <c r="B10" s="7" t="s">
        <v>46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5.5" customHeight="1" x14ac:dyDescent="0.6">
      <c r="A11" s="6" t="s">
        <v>48</v>
      </c>
      <c r="B11" s="7" t="s">
        <v>46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 x14ac:dyDescent="0.6">
      <c r="A12" s="6" t="s">
        <v>40</v>
      </c>
      <c r="B12" s="7" t="s">
        <v>44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 x14ac:dyDescent="0.6">
      <c r="A13" s="6" t="s">
        <v>41</v>
      </c>
      <c r="B13" s="7" t="s">
        <v>44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 x14ac:dyDescent="0.6">
      <c r="A14" s="8" t="s">
        <v>25</v>
      </c>
      <c r="B14" s="9" t="s">
        <v>43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 x14ac:dyDescent="0.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 x14ac:dyDescent="0.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 x14ac:dyDescent="0.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customHeight="1" x14ac:dyDescent="0.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customHeight="1" x14ac:dyDescent="0.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customHeight="1" x14ac:dyDescent="0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5.5" customHeight="1" x14ac:dyDescent="0.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 x14ac:dyDescent="0.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5.5" customHeight="1" x14ac:dyDescent="0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5.5" customHeight="1" x14ac:dyDescent="0.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 x14ac:dyDescent="0.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 x14ac:dyDescent="0.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 x14ac:dyDescent="0.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customHeight="1" x14ac:dyDescent="0.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5.5" customHeight="1" x14ac:dyDescent="0.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5.5" customHeight="1" x14ac:dyDescent="0.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 x14ac:dyDescent="0.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5.5" customHeight="1" x14ac:dyDescent="0.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5.5" customHeight="1" x14ac:dyDescent="0.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5.5" customHeight="1" x14ac:dyDescent="0.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.5" customHeight="1" x14ac:dyDescent="0.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5.5" customHeight="1" x14ac:dyDescent="0.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5.5" customHeight="1" x14ac:dyDescent="0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5.5" customHeight="1" x14ac:dyDescent="0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5.5" customHeight="1" x14ac:dyDescent="0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5.5" customHeight="1" x14ac:dyDescent="0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5.5" customHeight="1" x14ac:dyDescent="0.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5.5" customHeight="1" x14ac:dyDescent="0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5.5" customHeight="1" x14ac:dyDescent="0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5.5" customHeight="1" x14ac:dyDescent="0.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5.5" customHeight="1" x14ac:dyDescent="0.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5.5" customHeight="1" x14ac:dyDescent="0.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5.5" customHeight="1" x14ac:dyDescent="0.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5.5" customHeight="1" x14ac:dyDescent="0.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5.5" customHeight="1" x14ac:dyDescent="0.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5.5" customHeight="1" x14ac:dyDescent="0.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5.5" customHeight="1" x14ac:dyDescent="0.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5.5" customHeight="1" x14ac:dyDescent="0.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5.5" customHeight="1" x14ac:dyDescent="0.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5.5" customHeight="1" x14ac:dyDescent="0.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5.5" customHeight="1" x14ac:dyDescent="0.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5.5" customHeight="1" x14ac:dyDescent="0.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5.5" customHeight="1" x14ac:dyDescent="0.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5.5" customHeight="1" x14ac:dyDescent="0.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5.5" customHeight="1" x14ac:dyDescent="0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5.5" customHeight="1" x14ac:dyDescent="0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5.5" customHeight="1" x14ac:dyDescent="0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5.5" customHeight="1" x14ac:dyDescent="0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5.5" customHeight="1" x14ac:dyDescent="0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5.5" customHeight="1" x14ac:dyDescent="0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5.5" customHeight="1" x14ac:dyDescent="0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5.5" customHeight="1" x14ac:dyDescent="0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5.5" customHeight="1" x14ac:dyDescent="0.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5.5" customHeight="1" x14ac:dyDescent="0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5.5" customHeight="1" x14ac:dyDescent="0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5.5" customHeight="1" x14ac:dyDescent="0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5.5" customHeight="1" x14ac:dyDescent="0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5.5" customHeight="1" x14ac:dyDescent="0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5.5" customHeight="1" x14ac:dyDescent="0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5.5" customHeight="1" x14ac:dyDescent="0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5.5" customHeight="1" x14ac:dyDescent="0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5.5" customHeight="1" x14ac:dyDescent="0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5.5" customHeight="1" x14ac:dyDescent="0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5.5" customHeight="1" x14ac:dyDescent="0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5.5" customHeight="1" x14ac:dyDescent="0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5.5" customHeight="1" x14ac:dyDescent="0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5.5" customHeight="1" x14ac:dyDescent="0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5.5" customHeight="1" x14ac:dyDescent="0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5.5" customHeight="1" x14ac:dyDescent="0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5.5" customHeight="1" x14ac:dyDescent="0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5.5" customHeight="1" x14ac:dyDescent="0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5.5" customHeight="1" x14ac:dyDescent="0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5.5" customHeight="1" x14ac:dyDescent="0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5.5" customHeight="1" x14ac:dyDescent="0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5.5" customHeight="1" x14ac:dyDescent="0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5.5" customHeight="1" x14ac:dyDescent="0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5.5" customHeight="1" x14ac:dyDescent="0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5.5" customHeight="1" x14ac:dyDescent="0.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5.5" customHeight="1" x14ac:dyDescent="0.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5.5" customHeight="1" x14ac:dyDescent="0.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5.5" customHeight="1" x14ac:dyDescent="0.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5.5" customHeight="1" x14ac:dyDescent="0.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5.5" customHeight="1" x14ac:dyDescent="0.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5.5" customHeight="1" x14ac:dyDescent="0.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5.5" customHeight="1" x14ac:dyDescent="0.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5.5" customHeight="1" x14ac:dyDescent="0.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5.5" customHeight="1" x14ac:dyDescent="0.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5.5" customHeight="1" x14ac:dyDescent="0.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5.5" customHeight="1" x14ac:dyDescent="0.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5.5" customHeight="1" x14ac:dyDescent="0.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5.5" customHeight="1" x14ac:dyDescent="0.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5.5" customHeight="1" x14ac:dyDescent="0.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5.5" customHeight="1" x14ac:dyDescent="0.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5.5" customHeight="1" x14ac:dyDescent="0.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5.5" customHeight="1" x14ac:dyDescent="0.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5.5" customHeight="1" x14ac:dyDescent="0.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5.5" customHeight="1" x14ac:dyDescent="0.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5.5" customHeight="1" x14ac:dyDescent="0.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5.5" customHeight="1" x14ac:dyDescent="0.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5.5" customHeight="1" x14ac:dyDescent="0.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5.5" customHeight="1" x14ac:dyDescent="0.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5.5" customHeight="1" x14ac:dyDescent="0.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5.5" customHeight="1" x14ac:dyDescent="0.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5.5" customHeight="1" x14ac:dyDescent="0.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5.5" customHeight="1" x14ac:dyDescent="0.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5.5" customHeight="1" x14ac:dyDescent="0.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5.5" customHeight="1" x14ac:dyDescent="0.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5.5" customHeight="1" x14ac:dyDescent="0.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5.5" customHeight="1" x14ac:dyDescent="0.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5.5" customHeight="1" x14ac:dyDescent="0.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5.5" customHeight="1" x14ac:dyDescent="0.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5.5" customHeight="1" x14ac:dyDescent="0.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5.5" customHeight="1" x14ac:dyDescent="0.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5.5" customHeight="1" x14ac:dyDescent="0.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5.5" customHeight="1" x14ac:dyDescent="0.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5.5" customHeight="1" x14ac:dyDescent="0.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5.5" customHeight="1" x14ac:dyDescent="0.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5.5" customHeight="1" x14ac:dyDescent="0.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5.5" customHeight="1" x14ac:dyDescent="0.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5.5" customHeight="1" x14ac:dyDescent="0.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5.5" customHeight="1" x14ac:dyDescent="0.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5.5" customHeight="1" x14ac:dyDescent="0.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5.5" customHeight="1" x14ac:dyDescent="0.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5.5" customHeight="1" x14ac:dyDescent="0.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5.5" customHeight="1" x14ac:dyDescent="0.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5.5" customHeight="1" x14ac:dyDescent="0.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5.5" customHeight="1" x14ac:dyDescent="0.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5.5" customHeight="1" x14ac:dyDescent="0.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5.5" customHeight="1" x14ac:dyDescent="0.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5.5" customHeight="1" x14ac:dyDescent="0.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5.5" customHeight="1" x14ac:dyDescent="0.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5.5" customHeight="1" x14ac:dyDescent="0.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5.5" customHeight="1" x14ac:dyDescent="0.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5.5" customHeight="1" x14ac:dyDescent="0.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5.5" customHeight="1" x14ac:dyDescent="0.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5.5" customHeight="1" x14ac:dyDescent="0.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5.5" customHeight="1" x14ac:dyDescent="0.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5.5" customHeight="1" x14ac:dyDescent="0.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5.5" customHeight="1" x14ac:dyDescent="0.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5.5" customHeight="1" x14ac:dyDescent="0.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5.5" customHeight="1" x14ac:dyDescent="0.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5.5" customHeight="1" x14ac:dyDescent="0.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5.5" customHeight="1" x14ac:dyDescent="0.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5.5" customHeight="1" x14ac:dyDescent="0.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5.5" customHeight="1" x14ac:dyDescent="0.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5.5" customHeight="1" x14ac:dyDescent="0.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5.5" customHeight="1" x14ac:dyDescent="0.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5.5" customHeight="1" x14ac:dyDescent="0.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5.5" customHeight="1" x14ac:dyDescent="0.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5.5" customHeight="1" x14ac:dyDescent="0.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5.5" customHeight="1" x14ac:dyDescent="0.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5.5" customHeight="1" x14ac:dyDescent="0.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5.5" customHeight="1" x14ac:dyDescent="0.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5.5" customHeight="1" x14ac:dyDescent="0.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5.5" customHeight="1" x14ac:dyDescent="0.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5.5" customHeight="1" x14ac:dyDescent="0.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5.5" customHeight="1" x14ac:dyDescent="0.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5.5" customHeight="1" x14ac:dyDescent="0.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5.5" customHeight="1" x14ac:dyDescent="0.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5.5" customHeight="1" x14ac:dyDescent="0.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5.5" customHeight="1" x14ac:dyDescent="0.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5.5" customHeight="1" x14ac:dyDescent="0.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5.5" customHeight="1" x14ac:dyDescent="0.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5.5" customHeight="1" x14ac:dyDescent="0.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5.5" customHeight="1" x14ac:dyDescent="0.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5.5" customHeight="1" x14ac:dyDescent="0.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5.5" customHeight="1" x14ac:dyDescent="0.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5.5" customHeight="1" x14ac:dyDescent="0.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5.5" customHeight="1" x14ac:dyDescent="0.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5.5" customHeight="1" x14ac:dyDescent="0.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5.5" customHeight="1" x14ac:dyDescent="0.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5.5" customHeight="1" x14ac:dyDescent="0.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5.5" customHeight="1" x14ac:dyDescent="0.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5.5" customHeight="1" x14ac:dyDescent="0.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5.5" customHeight="1" x14ac:dyDescent="0.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5.5" customHeight="1" x14ac:dyDescent="0.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5.5" customHeight="1" x14ac:dyDescent="0.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5.5" customHeight="1" x14ac:dyDescent="0.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5.5" customHeight="1" x14ac:dyDescent="0.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5.5" customHeight="1" x14ac:dyDescent="0.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5.5" customHeight="1" x14ac:dyDescent="0.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5.5" customHeight="1" x14ac:dyDescent="0.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5.5" customHeight="1" x14ac:dyDescent="0.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5.5" customHeight="1" x14ac:dyDescent="0.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5.5" customHeight="1" x14ac:dyDescent="0.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5.5" customHeight="1" x14ac:dyDescent="0.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5.5" customHeight="1" x14ac:dyDescent="0.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5.5" customHeight="1" x14ac:dyDescent="0.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5.5" customHeight="1" x14ac:dyDescent="0.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5.5" customHeight="1" x14ac:dyDescent="0.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5.5" customHeight="1" x14ac:dyDescent="0.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5.5" customHeight="1" x14ac:dyDescent="0.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5.5" customHeight="1" x14ac:dyDescent="0.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5.5" customHeight="1" x14ac:dyDescent="0.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5.5" customHeight="1" x14ac:dyDescent="0.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5.5" customHeight="1" x14ac:dyDescent="0.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5.5" customHeight="1" x14ac:dyDescent="0.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5.5" customHeight="1" x14ac:dyDescent="0.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5.5" customHeight="1" x14ac:dyDescent="0.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5.5" customHeight="1" x14ac:dyDescent="0.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5.5" customHeight="1" x14ac:dyDescent="0.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5.5" customHeight="1" x14ac:dyDescent="0.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5.5" customHeight="1" x14ac:dyDescent="0.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5.5" customHeight="1" x14ac:dyDescent="0.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5.5" customHeight="1" x14ac:dyDescent="0.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5.5" customHeight="1" x14ac:dyDescent="0.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5.5" customHeight="1" x14ac:dyDescent="0.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5.5" customHeight="1" x14ac:dyDescent="0.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5.5" customHeight="1" x14ac:dyDescent="0.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5.5" customHeight="1" x14ac:dyDescent="0.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5.5" customHeight="1" x14ac:dyDescent="0.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5.5" customHeight="1" x14ac:dyDescent="0.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5.5" customHeight="1" x14ac:dyDescent="0.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5.5" customHeight="1" x14ac:dyDescent="0.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5.5" customHeight="1" x14ac:dyDescent="0.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5.5" customHeight="1" x14ac:dyDescent="0.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5.5" customHeight="1" x14ac:dyDescent="0.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5.5" customHeight="1" x14ac:dyDescent="0.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5.5" customHeight="1" x14ac:dyDescent="0.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5.5" customHeight="1" x14ac:dyDescent="0.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5.5" customHeight="1" x14ac:dyDescent="0.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5.5" customHeight="1" x14ac:dyDescent="0.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5.5" customHeight="1" x14ac:dyDescent="0.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5.5" customHeight="1" x14ac:dyDescent="0.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5.5" customHeight="1" x14ac:dyDescent="0.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5.5" customHeight="1" x14ac:dyDescent="0.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5.5" customHeight="1" x14ac:dyDescent="0.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5.5" customHeight="1" x14ac:dyDescent="0.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5.5" customHeight="1" x14ac:dyDescent="0.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5.5" customHeight="1" x14ac:dyDescent="0.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5.5" customHeight="1" x14ac:dyDescent="0.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5.5" customHeight="1" x14ac:dyDescent="0.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5.5" customHeight="1" x14ac:dyDescent="0.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5.5" customHeight="1" x14ac:dyDescent="0.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5.5" customHeight="1" x14ac:dyDescent="0.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5.5" customHeight="1" x14ac:dyDescent="0.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5.5" customHeight="1" x14ac:dyDescent="0.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5.5" customHeight="1" x14ac:dyDescent="0.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5.5" customHeight="1" x14ac:dyDescent="0.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5.5" customHeight="1" x14ac:dyDescent="0.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5.5" customHeight="1" x14ac:dyDescent="0.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5.5" customHeight="1" x14ac:dyDescent="0.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5.5" customHeight="1" x14ac:dyDescent="0.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5.5" customHeight="1" x14ac:dyDescent="0.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5.5" customHeight="1" x14ac:dyDescent="0.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5.5" customHeight="1" x14ac:dyDescent="0.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5.5" customHeight="1" x14ac:dyDescent="0.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5.5" customHeight="1" x14ac:dyDescent="0.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5.5" customHeight="1" x14ac:dyDescent="0.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5.5" customHeight="1" x14ac:dyDescent="0.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5.5" customHeight="1" x14ac:dyDescent="0.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5.5" customHeight="1" x14ac:dyDescent="0.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5.5" customHeight="1" x14ac:dyDescent="0.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5.5" customHeight="1" x14ac:dyDescent="0.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5.5" customHeight="1" x14ac:dyDescent="0.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5.5" customHeight="1" x14ac:dyDescent="0.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5.5" customHeight="1" x14ac:dyDescent="0.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5.5" customHeight="1" x14ac:dyDescent="0.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5.5" customHeight="1" x14ac:dyDescent="0.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5.5" customHeight="1" x14ac:dyDescent="0.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5.5" customHeight="1" x14ac:dyDescent="0.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5.5" customHeight="1" x14ac:dyDescent="0.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5.5" customHeight="1" x14ac:dyDescent="0.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5.5" customHeight="1" x14ac:dyDescent="0.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5.5" customHeight="1" x14ac:dyDescent="0.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5.5" customHeight="1" x14ac:dyDescent="0.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5.5" customHeight="1" x14ac:dyDescent="0.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5.5" customHeight="1" x14ac:dyDescent="0.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5.5" customHeight="1" x14ac:dyDescent="0.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5.5" customHeight="1" x14ac:dyDescent="0.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5.5" customHeight="1" x14ac:dyDescent="0.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5.5" customHeight="1" x14ac:dyDescent="0.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5.5" customHeight="1" x14ac:dyDescent="0.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5.5" customHeight="1" x14ac:dyDescent="0.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5.5" customHeight="1" x14ac:dyDescent="0.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5.5" customHeight="1" x14ac:dyDescent="0.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5.5" customHeight="1" x14ac:dyDescent="0.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5.5" customHeight="1" x14ac:dyDescent="0.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5.5" customHeight="1" x14ac:dyDescent="0.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5.5" customHeight="1" x14ac:dyDescent="0.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5.5" customHeight="1" x14ac:dyDescent="0.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5.5" customHeight="1" x14ac:dyDescent="0.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5.5" customHeight="1" x14ac:dyDescent="0.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5.5" customHeight="1" x14ac:dyDescent="0.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5.5" customHeight="1" x14ac:dyDescent="0.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5.5" customHeight="1" x14ac:dyDescent="0.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5.5" customHeight="1" x14ac:dyDescent="0.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5.5" customHeight="1" x14ac:dyDescent="0.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5.5" customHeight="1" x14ac:dyDescent="0.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5.5" customHeight="1" x14ac:dyDescent="0.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5.5" customHeight="1" x14ac:dyDescent="0.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5.5" customHeight="1" x14ac:dyDescent="0.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5.5" customHeight="1" x14ac:dyDescent="0.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5.5" customHeight="1" x14ac:dyDescent="0.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5.5" customHeight="1" x14ac:dyDescent="0.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5.5" customHeight="1" x14ac:dyDescent="0.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5.5" customHeight="1" x14ac:dyDescent="0.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5.5" customHeight="1" x14ac:dyDescent="0.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5.5" customHeight="1" x14ac:dyDescent="0.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5.5" customHeight="1" x14ac:dyDescent="0.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5.5" customHeight="1" x14ac:dyDescent="0.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5.5" customHeight="1" x14ac:dyDescent="0.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5.5" customHeight="1" x14ac:dyDescent="0.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5.5" customHeight="1" x14ac:dyDescent="0.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5.5" customHeight="1" x14ac:dyDescent="0.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5.5" customHeight="1" x14ac:dyDescent="0.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5.5" customHeight="1" x14ac:dyDescent="0.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5.5" customHeight="1" x14ac:dyDescent="0.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5.5" customHeight="1" x14ac:dyDescent="0.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5.5" customHeight="1" x14ac:dyDescent="0.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5.5" customHeight="1" x14ac:dyDescent="0.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5.5" customHeight="1" x14ac:dyDescent="0.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5.5" customHeight="1" x14ac:dyDescent="0.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5.5" customHeight="1" x14ac:dyDescent="0.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5.5" customHeight="1" x14ac:dyDescent="0.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5.5" customHeight="1" x14ac:dyDescent="0.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5.5" customHeight="1" x14ac:dyDescent="0.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5.5" customHeight="1" x14ac:dyDescent="0.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5.5" customHeight="1" x14ac:dyDescent="0.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5.5" customHeight="1" x14ac:dyDescent="0.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5.5" customHeight="1" x14ac:dyDescent="0.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5.5" customHeight="1" x14ac:dyDescent="0.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5.5" customHeight="1" x14ac:dyDescent="0.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5.5" customHeight="1" x14ac:dyDescent="0.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5.5" customHeight="1" x14ac:dyDescent="0.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5.5" customHeight="1" x14ac:dyDescent="0.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5.5" customHeight="1" x14ac:dyDescent="0.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5.5" customHeight="1" x14ac:dyDescent="0.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5.5" customHeight="1" x14ac:dyDescent="0.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5.5" customHeight="1" x14ac:dyDescent="0.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5.5" customHeight="1" x14ac:dyDescent="0.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5.5" customHeight="1" x14ac:dyDescent="0.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5.5" customHeight="1" x14ac:dyDescent="0.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5.5" customHeight="1" x14ac:dyDescent="0.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5.5" customHeight="1" x14ac:dyDescent="0.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5.5" customHeight="1" x14ac:dyDescent="0.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5.5" customHeight="1" x14ac:dyDescent="0.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5.5" customHeight="1" x14ac:dyDescent="0.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5.5" customHeight="1" x14ac:dyDescent="0.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5.5" customHeight="1" x14ac:dyDescent="0.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5.5" customHeight="1" x14ac:dyDescent="0.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5.5" customHeight="1" x14ac:dyDescent="0.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5.5" customHeight="1" x14ac:dyDescent="0.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5.5" customHeight="1" x14ac:dyDescent="0.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5.5" customHeight="1" x14ac:dyDescent="0.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5.5" customHeight="1" x14ac:dyDescent="0.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5.5" customHeight="1" x14ac:dyDescent="0.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5.5" customHeight="1" x14ac:dyDescent="0.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5.5" customHeight="1" x14ac:dyDescent="0.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5.5" customHeight="1" x14ac:dyDescent="0.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5.5" customHeight="1" x14ac:dyDescent="0.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5.5" customHeight="1" x14ac:dyDescent="0.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5.5" customHeight="1" x14ac:dyDescent="0.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5.5" customHeight="1" x14ac:dyDescent="0.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5.5" customHeight="1" x14ac:dyDescent="0.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5.5" customHeight="1" x14ac:dyDescent="0.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5.5" customHeight="1" x14ac:dyDescent="0.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5.5" customHeight="1" x14ac:dyDescent="0.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5.5" customHeight="1" x14ac:dyDescent="0.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5.5" customHeight="1" x14ac:dyDescent="0.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5.5" customHeight="1" x14ac:dyDescent="0.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5.5" customHeight="1" x14ac:dyDescent="0.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5.5" customHeight="1" x14ac:dyDescent="0.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5.5" customHeight="1" x14ac:dyDescent="0.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5.5" customHeight="1" x14ac:dyDescent="0.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5.5" customHeight="1" x14ac:dyDescent="0.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5.5" customHeight="1" x14ac:dyDescent="0.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5.5" customHeight="1" x14ac:dyDescent="0.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5.5" customHeight="1" x14ac:dyDescent="0.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5.5" customHeight="1" x14ac:dyDescent="0.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5.5" customHeight="1" x14ac:dyDescent="0.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5.5" customHeight="1" x14ac:dyDescent="0.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5.5" customHeight="1" x14ac:dyDescent="0.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5.5" customHeight="1" x14ac:dyDescent="0.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5.5" customHeight="1" x14ac:dyDescent="0.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5.5" customHeight="1" x14ac:dyDescent="0.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5.5" customHeight="1" x14ac:dyDescent="0.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5.5" customHeight="1" x14ac:dyDescent="0.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5.5" customHeight="1" x14ac:dyDescent="0.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5.5" customHeight="1" x14ac:dyDescent="0.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5.5" customHeight="1" x14ac:dyDescent="0.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5.5" customHeight="1" x14ac:dyDescent="0.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5.5" customHeight="1" x14ac:dyDescent="0.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5.5" customHeight="1" x14ac:dyDescent="0.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5.5" customHeight="1" x14ac:dyDescent="0.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5.5" customHeight="1" x14ac:dyDescent="0.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5.5" customHeight="1" x14ac:dyDescent="0.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5.5" customHeight="1" x14ac:dyDescent="0.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5.5" customHeight="1" x14ac:dyDescent="0.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5.5" customHeight="1" x14ac:dyDescent="0.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5.5" customHeight="1" x14ac:dyDescent="0.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5.5" customHeight="1" x14ac:dyDescent="0.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5.5" customHeight="1" x14ac:dyDescent="0.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5.5" customHeight="1" x14ac:dyDescent="0.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5.5" customHeight="1" x14ac:dyDescent="0.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5.5" customHeight="1" x14ac:dyDescent="0.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5.5" customHeight="1" x14ac:dyDescent="0.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5.5" customHeight="1" x14ac:dyDescent="0.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5.5" customHeight="1" x14ac:dyDescent="0.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5.5" customHeight="1" x14ac:dyDescent="0.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5.5" customHeight="1" x14ac:dyDescent="0.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5.5" customHeight="1" x14ac:dyDescent="0.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5.5" customHeight="1" x14ac:dyDescent="0.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5.5" customHeight="1" x14ac:dyDescent="0.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5.5" customHeight="1" x14ac:dyDescent="0.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5.5" customHeight="1" x14ac:dyDescent="0.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5.5" customHeight="1" x14ac:dyDescent="0.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5.5" customHeight="1" x14ac:dyDescent="0.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5.5" customHeight="1" x14ac:dyDescent="0.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5.5" customHeight="1" x14ac:dyDescent="0.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5.5" customHeight="1" x14ac:dyDescent="0.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5.5" customHeight="1" x14ac:dyDescent="0.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5.5" customHeight="1" x14ac:dyDescent="0.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5.5" customHeight="1" x14ac:dyDescent="0.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5.5" customHeight="1" x14ac:dyDescent="0.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5.5" customHeight="1" x14ac:dyDescent="0.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5.5" customHeight="1" x14ac:dyDescent="0.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5.5" customHeight="1" x14ac:dyDescent="0.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5.5" customHeight="1" x14ac:dyDescent="0.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5.5" customHeight="1" x14ac:dyDescent="0.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5.5" customHeight="1" x14ac:dyDescent="0.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5.5" customHeight="1" x14ac:dyDescent="0.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5.5" customHeight="1" x14ac:dyDescent="0.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5.5" customHeight="1" x14ac:dyDescent="0.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5.5" customHeight="1" x14ac:dyDescent="0.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5.5" customHeight="1" x14ac:dyDescent="0.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5.5" customHeight="1" x14ac:dyDescent="0.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5.5" customHeight="1" x14ac:dyDescent="0.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5.5" customHeight="1" x14ac:dyDescent="0.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5.5" customHeight="1" x14ac:dyDescent="0.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5.5" customHeight="1" x14ac:dyDescent="0.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5.5" customHeight="1" x14ac:dyDescent="0.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5.5" customHeight="1" x14ac:dyDescent="0.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5.5" customHeight="1" x14ac:dyDescent="0.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5.5" customHeight="1" x14ac:dyDescent="0.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5.5" customHeight="1" x14ac:dyDescent="0.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5.5" customHeight="1" x14ac:dyDescent="0.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5.5" customHeight="1" x14ac:dyDescent="0.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5.5" customHeight="1" x14ac:dyDescent="0.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5.5" customHeight="1" x14ac:dyDescent="0.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5.5" customHeight="1" x14ac:dyDescent="0.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5.5" customHeight="1" x14ac:dyDescent="0.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5.5" customHeight="1" x14ac:dyDescent="0.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5.5" customHeight="1" x14ac:dyDescent="0.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5.5" customHeight="1" x14ac:dyDescent="0.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5.5" customHeight="1" x14ac:dyDescent="0.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5.5" customHeight="1" x14ac:dyDescent="0.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5.5" customHeight="1" x14ac:dyDescent="0.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5.5" customHeight="1" x14ac:dyDescent="0.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5.5" customHeight="1" x14ac:dyDescent="0.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5.5" customHeight="1" x14ac:dyDescent="0.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5.5" customHeight="1" x14ac:dyDescent="0.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5.5" customHeight="1" x14ac:dyDescent="0.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5.5" customHeight="1" x14ac:dyDescent="0.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5.5" customHeight="1" x14ac:dyDescent="0.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5.5" customHeight="1" x14ac:dyDescent="0.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5.5" customHeight="1" x14ac:dyDescent="0.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5.5" customHeight="1" x14ac:dyDescent="0.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5.5" customHeight="1" x14ac:dyDescent="0.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5.5" customHeight="1" x14ac:dyDescent="0.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5.5" customHeight="1" x14ac:dyDescent="0.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5.5" customHeight="1" x14ac:dyDescent="0.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5.5" customHeight="1" x14ac:dyDescent="0.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5.5" customHeight="1" x14ac:dyDescent="0.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5.5" customHeight="1" x14ac:dyDescent="0.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5.5" customHeight="1" x14ac:dyDescent="0.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5.5" customHeight="1" x14ac:dyDescent="0.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5.5" customHeight="1" x14ac:dyDescent="0.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5.5" customHeight="1" x14ac:dyDescent="0.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5.5" customHeight="1" x14ac:dyDescent="0.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5.5" customHeight="1" x14ac:dyDescent="0.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5.5" customHeight="1" x14ac:dyDescent="0.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5.5" customHeight="1" x14ac:dyDescent="0.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5.5" customHeight="1" x14ac:dyDescent="0.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5.5" customHeight="1" x14ac:dyDescent="0.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5.5" customHeight="1" x14ac:dyDescent="0.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5.5" customHeight="1" x14ac:dyDescent="0.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5.5" customHeight="1" x14ac:dyDescent="0.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5.5" customHeight="1" x14ac:dyDescent="0.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5.5" customHeight="1" x14ac:dyDescent="0.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5.5" customHeight="1" x14ac:dyDescent="0.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5.5" customHeight="1" x14ac:dyDescent="0.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5.5" customHeight="1" x14ac:dyDescent="0.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5.5" customHeight="1" x14ac:dyDescent="0.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5.5" customHeight="1" x14ac:dyDescent="0.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5.5" customHeight="1" x14ac:dyDescent="0.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5.5" customHeight="1" x14ac:dyDescent="0.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5.5" customHeight="1" x14ac:dyDescent="0.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5.5" customHeight="1" x14ac:dyDescent="0.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5.5" customHeight="1" x14ac:dyDescent="0.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5.5" customHeight="1" x14ac:dyDescent="0.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5.5" customHeight="1" x14ac:dyDescent="0.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5.5" customHeight="1" x14ac:dyDescent="0.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5.5" customHeight="1" x14ac:dyDescent="0.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5.5" customHeight="1" x14ac:dyDescent="0.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5.5" customHeight="1" x14ac:dyDescent="0.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5.5" customHeight="1" x14ac:dyDescent="0.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5.5" customHeight="1" x14ac:dyDescent="0.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5.5" customHeight="1" x14ac:dyDescent="0.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5.5" customHeight="1" x14ac:dyDescent="0.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5.5" customHeight="1" x14ac:dyDescent="0.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5.5" customHeight="1" x14ac:dyDescent="0.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5.5" customHeight="1" x14ac:dyDescent="0.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5.5" customHeight="1" x14ac:dyDescent="0.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5.5" customHeight="1" x14ac:dyDescent="0.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5.5" customHeight="1" x14ac:dyDescent="0.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5.5" customHeight="1" x14ac:dyDescent="0.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5.5" customHeight="1" x14ac:dyDescent="0.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5.5" customHeight="1" x14ac:dyDescent="0.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5.5" customHeight="1" x14ac:dyDescent="0.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5.5" customHeight="1" x14ac:dyDescent="0.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5.5" customHeight="1" x14ac:dyDescent="0.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5.5" customHeight="1" x14ac:dyDescent="0.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5.5" customHeight="1" x14ac:dyDescent="0.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5.5" customHeight="1" x14ac:dyDescent="0.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5.5" customHeight="1" x14ac:dyDescent="0.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5.5" customHeight="1" x14ac:dyDescent="0.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5.5" customHeight="1" x14ac:dyDescent="0.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5.5" customHeight="1" x14ac:dyDescent="0.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5.5" customHeight="1" x14ac:dyDescent="0.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5.5" customHeight="1" x14ac:dyDescent="0.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5.5" customHeight="1" x14ac:dyDescent="0.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5.5" customHeight="1" x14ac:dyDescent="0.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5.5" customHeight="1" x14ac:dyDescent="0.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5.5" customHeight="1" x14ac:dyDescent="0.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5.5" customHeight="1" x14ac:dyDescent="0.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5.5" customHeight="1" x14ac:dyDescent="0.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5.5" customHeight="1" x14ac:dyDescent="0.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5.5" customHeight="1" x14ac:dyDescent="0.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5.5" customHeight="1" x14ac:dyDescent="0.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5.5" customHeight="1" x14ac:dyDescent="0.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5.5" customHeight="1" x14ac:dyDescent="0.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5.5" customHeight="1" x14ac:dyDescent="0.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5.5" customHeight="1" x14ac:dyDescent="0.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5.5" customHeight="1" x14ac:dyDescent="0.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5.5" customHeight="1" x14ac:dyDescent="0.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5.5" customHeight="1" x14ac:dyDescent="0.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5.5" customHeight="1" x14ac:dyDescent="0.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5.5" customHeight="1" x14ac:dyDescent="0.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5.5" customHeight="1" x14ac:dyDescent="0.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5.5" customHeight="1" x14ac:dyDescent="0.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5.5" customHeight="1" x14ac:dyDescent="0.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5.5" customHeight="1" x14ac:dyDescent="0.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5.5" customHeight="1" x14ac:dyDescent="0.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5.5" customHeight="1" x14ac:dyDescent="0.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5.5" customHeight="1" x14ac:dyDescent="0.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5.5" customHeight="1" x14ac:dyDescent="0.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5.5" customHeight="1" x14ac:dyDescent="0.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5.5" customHeight="1" x14ac:dyDescent="0.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5.5" customHeight="1" x14ac:dyDescent="0.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5.5" customHeight="1" x14ac:dyDescent="0.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5.5" customHeight="1" x14ac:dyDescent="0.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5.5" customHeight="1" x14ac:dyDescent="0.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5.5" customHeight="1" x14ac:dyDescent="0.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5.5" customHeight="1" x14ac:dyDescent="0.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5.5" customHeight="1" x14ac:dyDescent="0.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5.5" customHeight="1" x14ac:dyDescent="0.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5.5" customHeight="1" x14ac:dyDescent="0.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5.5" customHeight="1" x14ac:dyDescent="0.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5.5" customHeight="1" x14ac:dyDescent="0.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5.5" customHeight="1" x14ac:dyDescent="0.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5.5" customHeight="1" x14ac:dyDescent="0.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5.5" customHeight="1" x14ac:dyDescent="0.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5.5" customHeight="1" x14ac:dyDescent="0.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5.5" customHeight="1" x14ac:dyDescent="0.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5.5" customHeight="1" x14ac:dyDescent="0.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5.5" customHeight="1" x14ac:dyDescent="0.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5.5" customHeight="1" x14ac:dyDescent="0.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5.5" customHeight="1" x14ac:dyDescent="0.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5.5" customHeight="1" x14ac:dyDescent="0.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5.5" customHeight="1" x14ac:dyDescent="0.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5.5" customHeight="1" x14ac:dyDescent="0.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5.5" customHeight="1" x14ac:dyDescent="0.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5.5" customHeight="1" x14ac:dyDescent="0.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5.5" customHeight="1" x14ac:dyDescent="0.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5.5" customHeight="1" x14ac:dyDescent="0.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5.5" customHeight="1" x14ac:dyDescent="0.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5.5" customHeight="1" x14ac:dyDescent="0.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5.5" customHeight="1" x14ac:dyDescent="0.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5.5" customHeight="1" x14ac:dyDescent="0.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5.5" customHeight="1" x14ac:dyDescent="0.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5.5" customHeight="1" x14ac:dyDescent="0.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5.5" customHeight="1" x14ac:dyDescent="0.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5.5" customHeight="1" x14ac:dyDescent="0.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5.5" customHeight="1" x14ac:dyDescent="0.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5.5" customHeight="1" x14ac:dyDescent="0.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5.5" customHeight="1" x14ac:dyDescent="0.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5.5" customHeight="1" x14ac:dyDescent="0.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5.5" customHeight="1" x14ac:dyDescent="0.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5.5" customHeight="1" x14ac:dyDescent="0.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5.5" customHeight="1" x14ac:dyDescent="0.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5.5" customHeight="1" x14ac:dyDescent="0.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5.5" customHeight="1" x14ac:dyDescent="0.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5.5" customHeight="1" x14ac:dyDescent="0.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5.5" customHeight="1" x14ac:dyDescent="0.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5.5" customHeight="1" x14ac:dyDescent="0.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5.5" customHeight="1" x14ac:dyDescent="0.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5.5" customHeight="1" x14ac:dyDescent="0.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5.5" customHeight="1" x14ac:dyDescent="0.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5.5" customHeight="1" x14ac:dyDescent="0.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5.5" customHeight="1" x14ac:dyDescent="0.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5.5" customHeight="1" x14ac:dyDescent="0.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5.5" customHeight="1" x14ac:dyDescent="0.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5.5" customHeight="1" x14ac:dyDescent="0.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5.5" customHeight="1" x14ac:dyDescent="0.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5.5" customHeight="1" x14ac:dyDescent="0.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5.5" customHeight="1" x14ac:dyDescent="0.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5.5" customHeight="1" x14ac:dyDescent="0.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5.5" customHeight="1" x14ac:dyDescent="0.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5.5" customHeight="1" x14ac:dyDescent="0.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5.5" customHeight="1" x14ac:dyDescent="0.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5.5" customHeight="1" x14ac:dyDescent="0.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5.5" customHeight="1" x14ac:dyDescent="0.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5.5" customHeight="1" x14ac:dyDescent="0.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5.5" customHeight="1" x14ac:dyDescent="0.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5.5" customHeight="1" x14ac:dyDescent="0.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5.5" customHeight="1" x14ac:dyDescent="0.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5.5" customHeight="1" x14ac:dyDescent="0.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5.5" customHeight="1" x14ac:dyDescent="0.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5.5" customHeight="1" x14ac:dyDescent="0.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5.5" customHeight="1" x14ac:dyDescent="0.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5.5" customHeight="1" x14ac:dyDescent="0.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5.5" customHeight="1" x14ac:dyDescent="0.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5.5" customHeight="1" x14ac:dyDescent="0.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5.5" customHeight="1" x14ac:dyDescent="0.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5.5" customHeight="1" x14ac:dyDescent="0.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5.5" customHeight="1" x14ac:dyDescent="0.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5.5" customHeight="1" x14ac:dyDescent="0.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5.5" customHeight="1" x14ac:dyDescent="0.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5.5" customHeight="1" x14ac:dyDescent="0.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5.5" customHeight="1" x14ac:dyDescent="0.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5.5" customHeight="1" x14ac:dyDescent="0.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5.5" customHeight="1" x14ac:dyDescent="0.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5.5" customHeight="1" x14ac:dyDescent="0.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5.5" customHeight="1" x14ac:dyDescent="0.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5.5" customHeight="1" x14ac:dyDescent="0.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5.5" customHeight="1" x14ac:dyDescent="0.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5.5" customHeight="1" x14ac:dyDescent="0.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5.5" customHeight="1" x14ac:dyDescent="0.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5.5" customHeight="1" x14ac:dyDescent="0.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5.5" customHeight="1" x14ac:dyDescent="0.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5.5" customHeight="1" x14ac:dyDescent="0.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5.5" customHeight="1" x14ac:dyDescent="0.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5.5" customHeight="1" x14ac:dyDescent="0.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5.5" customHeight="1" x14ac:dyDescent="0.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5.5" customHeight="1" x14ac:dyDescent="0.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5.5" customHeight="1" x14ac:dyDescent="0.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5.5" customHeight="1" x14ac:dyDescent="0.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5.5" customHeight="1" x14ac:dyDescent="0.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5.5" customHeight="1" x14ac:dyDescent="0.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5.5" customHeight="1" x14ac:dyDescent="0.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5.5" customHeight="1" x14ac:dyDescent="0.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5.5" customHeight="1" x14ac:dyDescent="0.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5.5" customHeight="1" x14ac:dyDescent="0.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5.5" customHeight="1" x14ac:dyDescent="0.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5.5" customHeight="1" x14ac:dyDescent="0.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5.5" customHeight="1" x14ac:dyDescent="0.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5.5" customHeight="1" x14ac:dyDescent="0.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5.5" customHeight="1" x14ac:dyDescent="0.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5.5" customHeight="1" x14ac:dyDescent="0.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5.5" customHeight="1" x14ac:dyDescent="0.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5.5" customHeight="1" x14ac:dyDescent="0.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5.5" customHeight="1" x14ac:dyDescent="0.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5.5" customHeight="1" x14ac:dyDescent="0.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5.5" customHeight="1" x14ac:dyDescent="0.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5.5" customHeight="1" x14ac:dyDescent="0.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5.5" customHeight="1" x14ac:dyDescent="0.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5.5" customHeight="1" x14ac:dyDescent="0.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5.5" customHeight="1" x14ac:dyDescent="0.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5.5" customHeight="1" x14ac:dyDescent="0.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5.5" customHeight="1" x14ac:dyDescent="0.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5.5" customHeight="1" x14ac:dyDescent="0.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5.5" customHeight="1" x14ac:dyDescent="0.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5.5" customHeight="1" x14ac:dyDescent="0.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5.5" customHeight="1" x14ac:dyDescent="0.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5.5" customHeight="1" x14ac:dyDescent="0.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5.5" customHeight="1" x14ac:dyDescent="0.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5.5" customHeight="1" x14ac:dyDescent="0.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5.5" customHeight="1" x14ac:dyDescent="0.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5.5" customHeight="1" x14ac:dyDescent="0.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5.5" customHeight="1" x14ac:dyDescent="0.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5.5" customHeight="1" x14ac:dyDescent="0.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5.5" customHeight="1" x14ac:dyDescent="0.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5.5" customHeight="1" x14ac:dyDescent="0.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5.5" customHeight="1" x14ac:dyDescent="0.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5.5" customHeight="1" x14ac:dyDescent="0.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5.5" customHeight="1" x14ac:dyDescent="0.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5.5" customHeight="1" x14ac:dyDescent="0.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5.5" customHeight="1" x14ac:dyDescent="0.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5.5" customHeight="1" x14ac:dyDescent="0.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5.5" customHeight="1" x14ac:dyDescent="0.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5.5" customHeight="1" x14ac:dyDescent="0.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5.5" customHeight="1" x14ac:dyDescent="0.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5.5" customHeight="1" x14ac:dyDescent="0.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5.5" customHeight="1" x14ac:dyDescent="0.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5.5" customHeight="1" x14ac:dyDescent="0.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5.5" customHeight="1" x14ac:dyDescent="0.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5.5" customHeight="1" x14ac:dyDescent="0.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5.5" customHeight="1" x14ac:dyDescent="0.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5.5" customHeight="1" x14ac:dyDescent="0.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5.5" customHeight="1" x14ac:dyDescent="0.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5.5" customHeight="1" x14ac:dyDescent="0.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5.5" customHeight="1" x14ac:dyDescent="0.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5.5" customHeight="1" x14ac:dyDescent="0.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5.5" customHeight="1" x14ac:dyDescent="0.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5.5" customHeight="1" x14ac:dyDescent="0.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5.5" customHeight="1" x14ac:dyDescent="0.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5.5" customHeight="1" x14ac:dyDescent="0.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5.5" customHeight="1" x14ac:dyDescent="0.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5.5" customHeight="1" x14ac:dyDescent="0.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5.5" customHeight="1" x14ac:dyDescent="0.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5.5" customHeight="1" x14ac:dyDescent="0.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5.5" customHeight="1" x14ac:dyDescent="0.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5.5" customHeight="1" x14ac:dyDescent="0.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5.5" customHeight="1" x14ac:dyDescent="0.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5.5" customHeight="1" x14ac:dyDescent="0.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5.5" customHeight="1" x14ac:dyDescent="0.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5.5" customHeight="1" x14ac:dyDescent="0.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5.5" customHeight="1" x14ac:dyDescent="0.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5.5" customHeight="1" x14ac:dyDescent="0.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5.5" customHeight="1" x14ac:dyDescent="0.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5.5" customHeight="1" x14ac:dyDescent="0.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5.5" customHeight="1" x14ac:dyDescent="0.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5.5" customHeight="1" x14ac:dyDescent="0.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5.5" customHeight="1" x14ac:dyDescent="0.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5.5" customHeight="1" x14ac:dyDescent="0.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5.5" customHeight="1" x14ac:dyDescent="0.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5.5" customHeight="1" x14ac:dyDescent="0.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5.5" customHeight="1" x14ac:dyDescent="0.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5.5" customHeight="1" x14ac:dyDescent="0.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5.5" customHeight="1" x14ac:dyDescent="0.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5.5" customHeight="1" x14ac:dyDescent="0.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5.5" customHeight="1" x14ac:dyDescent="0.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5.5" customHeight="1" x14ac:dyDescent="0.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5.5" customHeight="1" x14ac:dyDescent="0.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5.5" customHeight="1" x14ac:dyDescent="0.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5.5" customHeight="1" x14ac:dyDescent="0.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5.5" customHeight="1" x14ac:dyDescent="0.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5.5" customHeight="1" x14ac:dyDescent="0.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5.5" customHeight="1" x14ac:dyDescent="0.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5.5" customHeight="1" x14ac:dyDescent="0.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5.5" customHeight="1" x14ac:dyDescent="0.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5.5" customHeight="1" x14ac:dyDescent="0.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5.5" customHeight="1" x14ac:dyDescent="0.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5.5" customHeight="1" x14ac:dyDescent="0.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5.5" customHeight="1" x14ac:dyDescent="0.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5.5" customHeight="1" x14ac:dyDescent="0.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5.5" customHeight="1" x14ac:dyDescent="0.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5.5" customHeight="1" x14ac:dyDescent="0.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5.5" customHeight="1" x14ac:dyDescent="0.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5.5" customHeight="1" x14ac:dyDescent="0.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5.5" customHeight="1" x14ac:dyDescent="0.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5.5" customHeight="1" x14ac:dyDescent="0.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5.5" customHeight="1" x14ac:dyDescent="0.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5.5" customHeight="1" x14ac:dyDescent="0.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5.5" customHeight="1" x14ac:dyDescent="0.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5.5" customHeight="1" x14ac:dyDescent="0.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5.5" customHeight="1" x14ac:dyDescent="0.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5.5" customHeight="1" x14ac:dyDescent="0.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5.5" customHeight="1" x14ac:dyDescent="0.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5.5" customHeight="1" x14ac:dyDescent="0.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5.5" customHeight="1" x14ac:dyDescent="0.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5.5" customHeight="1" x14ac:dyDescent="0.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5.5" customHeight="1" x14ac:dyDescent="0.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5.5" customHeight="1" x14ac:dyDescent="0.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5.5" customHeight="1" x14ac:dyDescent="0.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5.5" customHeight="1" x14ac:dyDescent="0.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5.5" customHeight="1" x14ac:dyDescent="0.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5.5" customHeight="1" x14ac:dyDescent="0.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5.5" customHeight="1" x14ac:dyDescent="0.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5.5" customHeight="1" x14ac:dyDescent="0.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5.5" customHeight="1" x14ac:dyDescent="0.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5.5" customHeight="1" x14ac:dyDescent="0.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5.5" customHeight="1" x14ac:dyDescent="0.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5.5" customHeight="1" x14ac:dyDescent="0.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5.5" customHeight="1" x14ac:dyDescent="0.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5.5" customHeight="1" x14ac:dyDescent="0.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5.5" customHeight="1" x14ac:dyDescent="0.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5.5" customHeight="1" x14ac:dyDescent="0.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5.5" customHeight="1" x14ac:dyDescent="0.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5.5" customHeight="1" x14ac:dyDescent="0.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5.5" customHeight="1" x14ac:dyDescent="0.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5.5" customHeight="1" x14ac:dyDescent="0.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5.5" customHeight="1" x14ac:dyDescent="0.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5.5" customHeight="1" x14ac:dyDescent="0.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5.5" customHeight="1" x14ac:dyDescent="0.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5.5" customHeight="1" x14ac:dyDescent="0.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5.5" customHeight="1" x14ac:dyDescent="0.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5.5" customHeight="1" x14ac:dyDescent="0.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5.5" customHeight="1" x14ac:dyDescent="0.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5.5" customHeight="1" x14ac:dyDescent="0.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5.5" customHeight="1" x14ac:dyDescent="0.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5.5" customHeight="1" x14ac:dyDescent="0.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5.5" customHeight="1" x14ac:dyDescent="0.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5.5" customHeight="1" x14ac:dyDescent="0.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5.5" customHeight="1" x14ac:dyDescent="0.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5.5" customHeight="1" x14ac:dyDescent="0.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5.5" customHeight="1" x14ac:dyDescent="0.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5.5" customHeight="1" x14ac:dyDescent="0.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5.5" customHeight="1" x14ac:dyDescent="0.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5.5" customHeight="1" x14ac:dyDescent="0.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5.5" customHeight="1" x14ac:dyDescent="0.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5.5" customHeight="1" x14ac:dyDescent="0.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5.5" customHeight="1" x14ac:dyDescent="0.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5.5" customHeight="1" x14ac:dyDescent="0.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5.5" customHeight="1" x14ac:dyDescent="0.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5.5" customHeight="1" x14ac:dyDescent="0.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5.5" customHeight="1" x14ac:dyDescent="0.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5.5" customHeight="1" x14ac:dyDescent="0.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5.5" customHeight="1" x14ac:dyDescent="0.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5.5" customHeight="1" x14ac:dyDescent="0.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5.5" customHeight="1" x14ac:dyDescent="0.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5.5" customHeight="1" x14ac:dyDescent="0.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5.5" customHeight="1" x14ac:dyDescent="0.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5.5" customHeight="1" x14ac:dyDescent="0.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5.5" customHeight="1" x14ac:dyDescent="0.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5.5" customHeight="1" x14ac:dyDescent="0.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5.5" customHeight="1" x14ac:dyDescent="0.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5.5" customHeight="1" x14ac:dyDescent="0.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5.5" customHeight="1" x14ac:dyDescent="0.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5.5" customHeight="1" x14ac:dyDescent="0.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5.5" customHeight="1" x14ac:dyDescent="0.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5.5" customHeight="1" x14ac:dyDescent="0.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5.5" customHeight="1" x14ac:dyDescent="0.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5.5" customHeight="1" x14ac:dyDescent="0.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5.5" customHeight="1" x14ac:dyDescent="0.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5.5" customHeight="1" x14ac:dyDescent="0.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5.5" customHeight="1" x14ac:dyDescent="0.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5.5" customHeight="1" x14ac:dyDescent="0.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5.5" customHeight="1" x14ac:dyDescent="0.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5.5" customHeight="1" x14ac:dyDescent="0.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5.5" customHeight="1" x14ac:dyDescent="0.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5.5" customHeight="1" x14ac:dyDescent="0.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5.5" customHeight="1" x14ac:dyDescent="0.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5.5" customHeight="1" x14ac:dyDescent="0.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5.5" customHeight="1" x14ac:dyDescent="0.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5.5" customHeight="1" x14ac:dyDescent="0.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5.5" customHeight="1" x14ac:dyDescent="0.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5.5" customHeight="1" x14ac:dyDescent="0.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5.5" customHeight="1" x14ac:dyDescent="0.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5.5" customHeight="1" x14ac:dyDescent="0.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5.5" customHeight="1" x14ac:dyDescent="0.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5.5" customHeight="1" x14ac:dyDescent="0.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5.5" customHeight="1" x14ac:dyDescent="0.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5.5" customHeight="1" x14ac:dyDescent="0.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5.5" customHeight="1" x14ac:dyDescent="0.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5.5" customHeight="1" x14ac:dyDescent="0.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5.5" customHeight="1" x14ac:dyDescent="0.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5.5" customHeight="1" x14ac:dyDescent="0.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5.5" customHeight="1" x14ac:dyDescent="0.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5.5" customHeight="1" x14ac:dyDescent="0.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5.5" customHeight="1" x14ac:dyDescent="0.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5.5" customHeight="1" x14ac:dyDescent="0.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5.5" customHeight="1" x14ac:dyDescent="0.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5.5" customHeight="1" x14ac:dyDescent="0.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5.5" customHeight="1" x14ac:dyDescent="0.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5.5" customHeight="1" x14ac:dyDescent="0.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5.5" customHeight="1" x14ac:dyDescent="0.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5.5" customHeight="1" x14ac:dyDescent="0.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5.5" customHeight="1" x14ac:dyDescent="0.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5.5" customHeight="1" x14ac:dyDescent="0.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5.5" customHeight="1" x14ac:dyDescent="0.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5.5" customHeight="1" x14ac:dyDescent="0.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5.5" customHeight="1" x14ac:dyDescent="0.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5.5" customHeight="1" x14ac:dyDescent="0.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5.5" customHeight="1" x14ac:dyDescent="0.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5.5" customHeight="1" x14ac:dyDescent="0.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5.5" customHeight="1" x14ac:dyDescent="0.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5.5" customHeight="1" x14ac:dyDescent="0.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5.5" customHeight="1" x14ac:dyDescent="0.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5.5" customHeight="1" x14ac:dyDescent="0.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5.5" customHeight="1" x14ac:dyDescent="0.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5.5" customHeight="1" x14ac:dyDescent="0.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5.5" customHeight="1" x14ac:dyDescent="0.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5.5" customHeight="1" x14ac:dyDescent="0.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5.5" customHeight="1" x14ac:dyDescent="0.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5.5" customHeight="1" x14ac:dyDescent="0.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5.5" customHeight="1" x14ac:dyDescent="0.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5.5" customHeight="1" x14ac:dyDescent="0.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5.5" customHeight="1" x14ac:dyDescent="0.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5.5" customHeight="1" x14ac:dyDescent="0.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5.5" customHeight="1" x14ac:dyDescent="0.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5.5" customHeight="1" x14ac:dyDescent="0.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5.5" customHeight="1" x14ac:dyDescent="0.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5.5" customHeight="1" x14ac:dyDescent="0.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5.5" customHeight="1" x14ac:dyDescent="0.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5.5" customHeight="1" x14ac:dyDescent="0.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5.5" customHeight="1" x14ac:dyDescent="0.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5.5" customHeight="1" x14ac:dyDescent="0.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5.5" customHeight="1" x14ac:dyDescent="0.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5.5" customHeight="1" x14ac:dyDescent="0.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5.5" customHeight="1" x14ac:dyDescent="0.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5.5" customHeight="1" x14ac:dyDescent="0.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5.5" customHeight="1" x14ac:dyDescent="0.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5.5" customHeight="1" x14ac:dyDescent="0.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5.5" customHeight="1" x14ac:dyDescent="0.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5.5" customHeight="1" x14ac:dyDescent="0.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5.5" customHeight="1" x14ac:dyDescent="0.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5.5" customHeight="1" x14ac:dyDescent="0.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5.5" customHeight="1" x14ac:dyDescent="0.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5.5" customHeight="1" x14ac:dyDescent="0.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5.5" customHeight="1" x14ac:dyDescent="0.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5.5" customHeight="1" x14ac:dyDescent="0.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5.5" customHeight="1" x14ac:dyDescent="0.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5.5" customHeight="1" x14ac:dyDescent="0.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5.5" customHeight="1" x14ac:dyDescent="0.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5.5" customHeight="1" x14ac:dyDescent="0.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5.5" customHeight="1" x14ac:dyDescent="0.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5.5" customHeight="1" x14ac:dyDescent="0.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5.5" customHeight="1" x14ac:dyDescent="0.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5.5" customHeight="1" x14ac:dyDescent="0.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5.5" customHeight="1" x14ac:dyDescent="0.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5.5" customHeight="1" x14ac:dyDescent="0.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5.5" customHeight="1" x14ac:dyDescent="0.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5.5" customHeight="1" x14ac:dyDescent="0.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5.5" customHeight="1" x14ac:dyDescent="0.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5.5" customHeight="1" x14ac:dyDescent="0.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5.5" customHeight="1" x14ac:dyDescent="0.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5.5" customHeight="1" x14ac:dyDescent="0.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5.5" customHeight="1" x14ac:dyDescent="0.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5.5" customHeight="1" x14ac:dyDescent="0.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5.5" customHeight="1" x14ac:dyDescent="0.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5.5" customHeight="1" x14ac:dyDescent="0.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5.5" customHeight="1" x14ac:dyDescent="0.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5.5" customHeight="1" x14ac:dyDescent="0.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5.5" customHeight="1" x14ac:dyDescent="0.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5.5" customHeight="1" x14ac:dyDescent="0.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5.5" customHeight="1" x14ac:dyDescent="0.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5.5" customHeight="1" x14ac:dyDescent="0.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5.5" customHeight="1" x14ac:dyDescent="0.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5.5" customHeight="1" x14ac:dyDescent="0.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5.5" customHeight="1" x14ac:dyDescent="0.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5.5" customHeight="1" x14ac:dyDescent="0.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5.5" customHeight="1" x14ac:dyDescent="0.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5.5" customHeight="1" x14ac:dyDescent="0.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5.5" customHeight="1" x14ac:dyDescent="0.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5.5" customHeight="1" x14ac:dyDescent="0.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5.5" customHeight="1" x14ac:dyDescent="0.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5.5" customHeight="1" x14ac:dyDescent="0.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5.5" customHeight="1" x14ac:dyDescent="0.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5.5" customHeight="1" x14ac:dyDescent="0.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5.5" customHeight="1" x14ac:dyDescent="0.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5.5" customHeight="1" x14ac:dyDescent="0.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5.5" customHeight="1" x14ac:dyDescent="0.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5.5" customHeight="1" x14ac:dyDescent="0.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5.5" customHeight="1" x14ac:dyDescent="0.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5.5" customHeight="1" x14ac:dyDescent="0.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5.5" customHeight="1" x14ac:dyDescent="0.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5.5" customHeight="1" x14ac:dyDescent="0.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5.5" customHeight="1" x14ac:dyDescent="0.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5.5" customHeight="1" x14ac:dyDescent="0.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5.5" customHeight="1" x14ac:dyDescent="0.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5.5" customHeight="1" x14ac:dyDescent="0.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5.5" customHeight="1" x14ac:dyDescent="0.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5.5" customHeight="1" x14ac:dyDescent="0.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5.5" customHeight="1" x14ac:dyDescent="0.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5.5" customHeight="1" x14ac:dyDescent="0.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5.5" customHeight="1" x14ac:dyDescent="0.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5.5" customHeight="1" x14ac:dyDescent="0.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5.5" customHeight="1" x14ac:dyDescent="0.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5.5" customHeight="1" x14ac:dyDescent="0.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5.5" customHeight="1" x14ac:dyDescent="0.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5.5" customHeight="1" x14ac:dyDescent="0.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5.5" customHeight="1" x14ac:dyDescent="0.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5.5" customHeight="1" x14ac:dyDescent="0.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5.5" customHeight="1" x14ac:dyDescent="0.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5.5" customHeight="1" x14ac:dyDescent="0.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5.5" customHeight="1" x14ac:dyDescent="0.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5.5" customHeight="1" x14ac:dyDescent="0.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5.5" customHeight="1" x14ac:dyDescent="0.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5.5" customHeight="1" x14ac:dyDescent="0.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5.5" customHeight="1" x14ac:dyDescent="0.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5.5" customHeight="1" x14ac:dyDescent="0.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5.5" customHeight="1" x14ac:dyDescent="0.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5.5" customHeight="1" x14ac:dyDescent="0.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5.5" customHeight="1" x14ac:dyDescent="0.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5.5" customHeight="1" x14ac:dyDescent="0.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5.5" customHeight="1" x14ac:dyDescent="0.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5.5" customHeight="1" x14ac:dyDescent="0.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5.5" customHeight="1" x14ac:dyDescent="0.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5.5" customHeight="1" x14ac:dyDescent="0.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5.5" customHeight="1" x14ac:dyDescent="0.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5.5" customHeight="1" x14ac:dyDescent="0.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5.5" customHeight="1" x14ac:dyDescent="0.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5.5" customHeight="1" x14ac:dyDescent="0.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5.5" customHeight="1" x14ac:dyDescent="0.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6" zoomScale="62" workbookViewId="0">
      <selection activeCell="D15" sqref="D15"/>
    </sheetView>
  </sheetViews>
  <sheetFormatPr defaultColWidth="14.453125" defaultRowHeight="14.5" x14ac:dyDescent="0.35"/>
  <cols>
    <col min="1" max="2" width="18.453125" customWidth="1"/>
    <col min="3" max="3" width="26.54296875" customWidth="1"/>
    <col min="4" max="4" width="24" customWidth="1"/>
    <col min="5" max="5" width="25.81640625" customWidth="1"/>
    <col min="6" max="26" width="18.453125" customWidth="1"/>
  </cols>
  <sheetData>
    <row r="1" spans="1:26" ht="25.5" customHeight="1" thickBot="1" x14ac:dyDescent="0.6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5.5" customHeight="1" thickBot="1" x14ac:dyDescent="0.65">
      <c r="A2" s="5"/>
      <c r="B2" s="5"/>
      <c r="C2" s="31" t="s">
        <v>49</v>
      </c>
      <c r="D2" s="32"/>
      <c r="E2" s="10" t="s">
        <v>50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 x14ac:dyDescent="0.6">
      <c r="A3" s="5"/>
      <c r="B3" s="5"/>
      <c r="C3" s="11" t="s">
        <v>51</v>
      </c>
      <c r="D3" s="12" t="s">
        <v>52</v>
      </c>
      <c r="E3" s="13" t="s">
        <v>53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5.5" customHeight="1" x14ac:dyDescent="0.6">
      <c r="A4" s="5"/>
      <c r="B4" s="5"/>
      <c r="C4" s="14">
        <v>1001</v>
      </c>
      <c r="D4" s="5">
        <v>2000</v>
      </c>
      <c r="E4" s="15">
        <v>0.05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 x14ac:dyDescent="0.6">
      <c r="A5" s="5"/>
      <c r="B5" s="5"/>
      <c r="C5" s="14">
        <v>2001</v>
      </c>
      <c r="D5" s="5">
        <v>5000</v>
      </c>
      <c r="E5" s="15">
        <v>0.1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customHeight="1" x14ac:dyDescent="0.6">
      <c r="A6" s="5"/>
      <c r="B6" s="5"/>
      <c r="C6" s="14">
        <v>5001</v>
      </c>
      <c r="D6" s="5">
        <v>10000</v>
      </c>
      <c r="E6" s="15">
        <v>0.2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thickBot="1" x14ac:dyDescent="0.65">
      <c r="A7" s="5"/>
      <c r="B7" s="5"/>
      <c r="C7" s="16">
        <v>10001</v>
      </c>
      <c r="D7" s="17" t="s">
        <v>54</v>
      </c>
      <c r="E7" s="18">
        <v>0.3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 x14ac:dyDescent="0.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5.5" customHeight="1" x14ac:dyDescent="0.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customHeight="1" x14ac:dyDescent="0.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5.5" customHeight="1" thickBot="1" x14ac:dyDescent="0.6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 thickBot="1" x14ac:dyDescent="0.65">
      <c r="A12" s="5"/>
      <c r="B12" s="5"/>
      <c r="C12" s="19" t="s">
        <v>49</v>
      </c>
      <c r="D12" s="20" t="s">
        <v>55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 x14ac:dyDescent="0.6">
      <c r="A13" s="5"/>
      <c r="B13" s="5"/>
      <c r="C13" s="14">
        <v>1500</v>
      </c>
      <c r="D13" s="15">
        <f>VLOOKUP(C13,$C$3:$E$7,3)</f>
        <v>0.05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 x14ac:dyDescent="0.6">
      <c r="A14" s="5"/>
      <c r="B14" s="5"/>
      <c r="C14" s="14">
        <v>2500</v>
      </c>
      <c r="D14" s="15">
        <f>VLOOKUP(C14,$C$3:$E$7,3)</f>
        <v>0.1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 x14ac:dyDescent="0.6">
      <c r="A15" s="5"/>
      <c r="B15" s="5"/>
      <c r="C15" s="14">
        <v>20000</v>
      </c>
      <c r="D15" s="15">
        <f t="shared" ref="D15:D16" si="0">VLOOKUP(C15,$C$3:$E$7,3)</f>
        <v>0.3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 thickBot="1" x14ac:dyDescent="0.65">
      <c r="A16" s="5"/>
      <c r="B16" s="5"/>
      <c r="C16" s="16">
        <v>10000</v>
      </c>
      <c r="D16" s="15">
        <f t="shared" si="0"/>
        <v>0.2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 x14ac:dyDescent="0.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customHeight="1" x14ac:dyDescent="0.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customHeight="1" x14ac:dyDescent="0.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customHeight="1" x14ac:dyDescent="0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5.5" customHeight="1" x14ac:dyDescent="0.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 x14ac:dyDescent="0.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5.5" customHeight="1" x14ac:dyDescent="0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5.5" customHeight="1" x14ac:dyDescent="0.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 x14ac:dyDescent="0.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 x14ac:dyDescent="0.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 x14ac:dyDescent="0.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customHeight="1" x14ac:dyDescent="0.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5.5" customHeight="1" x14ac:dyDescent="0.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5.5" customHeight="1" x14ac:dyDescent="0.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 x14ac:dyDescent="0.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5.5" customHeight="1" x14ac:dyDescent="0.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5.5" customHeight="1" x14ac:dyDescent="0.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5.5" customHeight="1" x14ac:dyDescent="0.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.5" customHeight="1" x14ac:dyDescent="0.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5.5" customHeight="1" x14ac:dyDescent="0.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5.5" customHeight="1" x14ac:dyDescent="0.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5.5" customHeight="1" x14ac:dyDescent="0.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5.5" customHeight="1" x14ac:dyDescent="0.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5.5" customHeight="1" x14ac:dyDescent="0.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5.5" customHeight="1" x14ac:dyDescent="0.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5.5" customHeight="1" x14ac:dyDescent="0.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5.5" customHeight="1" x14ac:dyDescent="0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5.5" customHeight="1" x14ac:dyDescent="0.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5.5" customHeight="1" x14ac:dyDescent="0.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5.5" customHeight="1" x14ac:dyDescent="0.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5.5" customHeight="1" x14ac:dyDescent="0.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5.5" customHeight="1" x14ac:dyDescent="0.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5.5" customHeight="1" x14ac:dyDescent="0.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5.5" customHeight="1" x14ac:dyDescent="0.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5.5" customHeight="1" x14ac:dyDescent="0.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5.5" customHeight="1" x14ac:dyDescent="0.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5.5" customHeight="1" x14ac:dyDescent="0.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5.5" customHeight="1" x14ac:dyDescent="0.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5.5" customHeight="1" x14ac:dyDescent="0.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5.5" customHeight="1" x14ac:dyDescent="0.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5.5" customHeight="1" x14ac:dyDescent="0.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5.5" customHeight="1" x14ac:dyDescent="0.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5.5" customHeight="1" x14ac:dyDescent="0.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5.5" customHeight="1" x14ac:dyDescent="0.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5.5" customHeight="1" x14ac:dyDescent="0.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5.5" customHeight="1" x14ac:dyDescent="0.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5.5" customHeight="1" x14ac:dyDescent="0.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5.5" customHeight="1" x14ac:dyDescent="0.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5.5" customHeight="1" x14ac:dyDescent="0.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5.5" customHeight="1" x14ac:dyDescent="0.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5.5" customHeight="1" x14ac:dyDescent="0.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5.5" customHeight="1" x14ac:dyDescent="0.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5.5" customHeight="1" x14ac:dyDescent="0.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5.5" customHeight="1" x14ac:dyDescent="0.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5.5" customHeight="1" x14ac:dyDescent="0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5.5" customHeight="1" x14ac:dyDescent="0.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5.5" customHeight="1" x14ac:dyDescent="0.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5.5" customHeight="1" x14ac:dyDescent="0.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5.5" customHeight="1" x14ac:dyDescent="0.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5.5" customHeight="1" x14ac:dyDescent="0.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5.5" customHeight="1" x14ac:dyDescent="0.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5.5" customHeight="1" x14ac:dyDescent="0.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5.5" customHeight="1" x14ac:dyDescent="0.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5.5" customHeight="1" x14ac:dyDescent="0.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5.5" customHeight="1" x14ac:dyDescent="0.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5.5" customHeight="1" x14ac:dyDescent="0.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5.5" customHeight="1" x14ac:dyDescent="0.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5.5" customHeight="1" x14ac:dyDescent="0.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5.5" customHeight="1" x14ac:dyDescent="0.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5.5" customHeight="1" x14ac:dyDescent="0.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5.5" customHeight="1" x14ac:dyDescent="0.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5.5" customHeight="1" x14ac:dyDescent="0.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5.5" customHeight="1" x14ac:dyDescent="0.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5.5" customHeight="1" x14ac:dyDescent="0.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5.5" customHeight="1" x14ac:dyDescent="0.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5.5" customHeight="1" x14ac:dyDescent="0.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5.5" customHeight="1" x14ac:dyDescent="0.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5.5" customHeight="1" x14ac:dyDescent="0.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5.5" customHeight="1" x14ac:dyDescent="0.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5.5" customHeight="1" x14ac:dyDescent="0.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5.5" customHeight="1" x14ac:dyDescent="0.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5.5" customHeight="1" x14ac:dyDescent="0.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5.5" customHeight="1" x14ac:dyDescent="0.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5.5" customHeight="1" x14ac:dyDescent="0.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5.5" customHeight="1" x14ac:dyDescent="0.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5.5" customHeight="1" x14ac:dyDescent="0.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5.5" customHeight="1" x14ac:dyDescent="0.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5.5" customHeight="1" x14ac:dyDescent="0.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5.5" customHeight="1" x14ac:dyDescent="0.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5.5" customHeight="1" x14ac:dyDescent="0.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5.5" customHeight="1" x14ac:dyDescent="0.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5.5" customHeight="1" x14ac:dyDescent="0.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5.5" customHeight="1" x14ac:dyDescent="0.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5.5" customHeight="1" x14ac:dyDescent="0.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5.5" customHeight="1" x14ac:dyDescent="0.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5.5" customHeight="1" x14ac:dyDescent="0.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5.5" customHeight="1" x14ac:dyDescent="0.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5.5" customHeight="1" x14ac:dyDescent="0.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5.5" customHeight="1" x14ac:dyDescent="0.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5.5" customHeight="1" x14ac:dyDescent="0.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5.5" customHeight="1" x14ac:dyDescent="0.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5.5" customHeight="1" x14ac:dyDescent="0.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5.5" customHeight="1" x14ac:dyDescent="0.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5.5" customHeight="1" x14ac:dyDescent="0.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5.5" customHeight="1" x14ac:dyDescent="0.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5.5" customHeight="1" x14ac:dyDescent="0.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5.5" customHeight="1" x14ac:dyDescent="0.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5.5" customHeight="1" x14ac:dyDescent="0.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5.5" customHeight="1" x14ac:dyDescent="0.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5.5" customHeight="1" x14ac:dyDescent="0.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5.5" customHeight="1" x14ac:dyDescent="0.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5.5" customHeight="1" x14ac:dyDescent="0.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5.5" customHeight="1" x14ac:dyDescent="0.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5.5" customHeight="1" x14ac:dyDescent="0.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5.5" customHeight="1" x14ac:dyDescent="0.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5.5" customHeight="1" x14ac:dyDescent="0.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5.5" customHeight="1" x14ac:dyDescent="0.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5.5" customHeight="1" x14ac:dyDescent="0.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5.5" customHeight="1" x14ac:dyDescent="0.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5.5" customHeight="1" x14ac:dyDescent="0.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5.5" customHeight="1" x14ac:dyDescent="0.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5.5" customHeight="1" x14ac:dyDescent="0.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5.5" customHeight="1" x14ac:dyDescent="0.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5.5" customHeight="1" x14ac:dyDescent="0.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5.5" customHeight="1" x14ac:dyDescent="0.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5.5" customHeight="1" x14ac:dyDescent="0.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5.5" customHeight="1" x14ac:dyDescent="0.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5.5" customHeight="1" x14ac:dyDescent="0.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5.5" customHeight="1" x14ac:dyDescent="0.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5.5" customHeight="1" x14ac:dyDescent="0.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5.5" customHeight="1" x14ac:dyDescent="0.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5.5" customHeight="1" x14ac:dyDescent="0.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5.5" customHeight="1" x14ac:dyDescent="0.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5.5" customHeight="1" x14ac:dyDescent="0.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5.5" customHeight="1" x14ac:dyDescent="0.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5.5" customHeight="1" x14ac:dyDescent="0.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5.5" customHeight="1" x14ac:dyDescent="0.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5.5" customHeight="1" x14ac:dyDescent="0.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5.5" customHeight="1" x14ac:dyDescent="0.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5.5" customHeight="1" x14ac:dyDescent="0.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5.5" customHeight="1" x14ac:dyDescent="0.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5.5" customHeight="1" x14ac:dyDescent="0.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5.5" customHeight="1" x14ac:dyDescent="0.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5.5" customHeight="1" x14ac:dyDescent="0.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5.5" customHeight="1" x14ac:dyDescent="0.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5.5" customHeight="1" x14ac:dyDescent="0.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5.5" customHeight="1" x14ac:dyDescent="0.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5.5" customHeight="1" x14ac:dyDescent="0.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5.5" customHeight="1" x14ac:dyDescent="0.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5.5" customHeight="1" x14ac:dyDescent="0.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5.5" customHeight="1" x14ac:dyDescent="0.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5.5" customHeight="1" x14ac:dyDescent="0.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5.5" customHeight="1" x14ac:dyDescent="0.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5.5" customHeight="1" x14ac:dyDescent="0.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5.5" customHeight="1" x14ac:dyDescent="0.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5.5" customHeight="1" x14ac:dyDescent="0.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5.5" customHeight="1" x14ac:dyDescent="0.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5.5" customHeight="1" x14ac:dyDescent="0.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5.5" customHeight="1" x14ac:dyDescent="0.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5.5" customHeight="1" x14ac:dyDescent="0.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5.5" customHeight="1" x14ac:dyDescent="0.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5.5" customHeight="1" x14ac:dyDescent="0.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5.5" customHeight="1" x14ac:dyDescent="0.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5.5" customHeight="1" x14ac:dyDescent="0.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5.5" customHeight="1" x14ac:dyDescent="0.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5.5" customHeight="1" x14ac:dyDescent="0.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5.5" customHeight="1" x14ac:dyDescent="0.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5.5" customHeight="1" x14ac:dyDescent="0.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5.5" customHeight="1" x14ac:dyDescent="0.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5.5" customHeight="1" x14ac:dyDescent="0.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5.5" customHeight="1" x14ac:dyDescent="0.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5.5" customHeight="1" x14ac:dyDescent="0.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5.5" customHeight="1" x14ac:dyDescent="0.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5.5" customHeight="1" x14ac:dyDescent="0.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5.5" customHeight="1" x14ac:dyDescent="0.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5.5" customHeight="1" x14ac:dyDescent="0.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5.5" customHeight="1" x14ac:dyDescent="0.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5.5" customHeight="1" x14ac:dyDescent="0.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5.5" customHeight="1" x14ac:dyDescent="0.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5.5" customHeight="1" x14ac:dyDescent="0.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5.5" customHeight="1" x14ac:dyDescent="0.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5.5" customHeight="1" x14ac:dyDescent="0.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5.5" customHeight="1" x14ac:dyDescent="0.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5.5" customHeight="1" x14ac:dyDescent="0.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5.5" customHeight="1" x14ac:dyDescent="0.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5.5" customHeight="1" x14ac:dyDescent="0.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5.5" customHeight="1" x14ac:dyDescent="0.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5.5" customHeight="1" x14ac:dyDescent="0.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5.5" customHeight="1" x14ac:dyDescent="0.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5.5" customHeight="1" x14ac:dyDescent="0.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5.5" customHeight="1" x14ac:dyDescent="0.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5.5" customHeight="1" x14ac:dyDescent="0.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5.5" customHeight="1" x14ac:dyDescent="0.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5.5" customHeight="1" x14ac:dyDescent="0.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5.5" customHeight="1" x14ac:dyDescent="0.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5.5" customHeight="1" x14ac:dyDescent="0.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5.5" customHeight="1" x14ac:dyDescent="0.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5.5" customHeight="1" x14ac:dyDescent="0.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5.5" customHeight="1" x14ac:dyDescent="0.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5.5" customHeight="1" x14ac:dyDescent="0.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5.5" customHeight="1" x14ac:dyDescent="0.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5.5" customHeight="1" x14ac:dyDescent="0.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5.5" customHeight="1" x14ac:dyDescent="0.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5.5" customHeight="1" x14ac:dyDescent="0.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5.5" customHeight="1" x14ac:dyDescent="0.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5.5" customHeight="1" x14ac:dyDescent="0.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5.5" customHeight="1" x14ac:dyDescent="0.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5.5" customHeight="1" x14ac:dyDescent="0.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5.5" customHeight="1" x14ac:dyDescent="0.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5.5" customHeight="1" x14ac:dyDescent="0.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5.5" customHeight="1" x14ac:dyDescent="0.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5.5" customHeight="1" x14ac:dyDescent="0.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5.5" customHeight="1" x14ac:dyDescent="0.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5.5" customHeight="1" x14ac:dyDescent="0.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5.5" customHeight="1" x14ac:dyDescent="0.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5.5" customHeight="1" x14ac:dyDescent="0.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5.5" customHeight="1" x14ac:dyDescent="0.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5.5" customHeight="1" x14ac:dyDescent="0.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5.5" customHeight="1" x14ac:dyDescent="0.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5.5" customHeight="1" x14ac:dyDescent="0.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5.5" customHeight="1" x14ac:dyDescent="0.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5.5" customHeight="1" x14ac:dyDescent="0.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5.5" customHeight="1" x14ac:dyDescent="0.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5.5" customHeight="1" x14ac:dyDescent="0.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5.5" customHeight="1" x14ac:dyDescent="0.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5.5" customHeight="1" x14ac:dyDescent="0.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5.5" customHeight="1" x14ac:dyDescent="0.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5.5" customHeight="1" x14ac:dyDescent="0.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5.5" customHeight="1" x14ac:dyDescent="0.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5.5" customHeight="1" x14ac:dyDescent="0.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5.5" customHeight="1" x14ac:dyDescent="0.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5.5" customHeight="1" x14ac:dyDescent="0.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5.5" customHeight="1" x14ac:dyDescent="0.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5.5" customHeight="1" x14ac:dyDescent="0.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5.5" customHeight="1" x14ac:dyDescent="0.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5.5" customHeight="1" x14ac:dyDescent="0.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5.5" customHeight="1" x14ac:dyDescent="0.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5.5" customHeight="1" x14ac:dyDescent="0.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5.5" customHeight="1" x14ac:dyDescent="0.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5.5" customHeight="1" x14ac:dyDescent="0.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5.5" customHeight="1" x14ac:dyDescent="0.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5.5" customHeight="1" x14ac:dyDescent="0.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5.5" customHeight="1" x14ac:dyDescent="0.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5.5" customHeight="1" x14ac:dyDescent="0.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5.5" customHeight="1" x14ac:dyDescent="0.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5.5" customHeight="1" x14ac:dyDescent="0.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5.5" customHeight="1" x14ac:dyDescent="0.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5.5" customHeight="1" x14ac:dyDescent="0.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5.5" customHeight="1" x14ac:dyDescent="0.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5.5" customHeight="1" x14ac:dyDescent="0.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5.5" customHeight="1" x14ac:dyDescent="0.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5.5" customHeight="1" x14ac:dyDescent="0.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5.5" customHeight="1" x14ac:dyDescent="0.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5.5" customHeight="1" x14ac:dyDescent="0.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5.5" customHeight="1" x14ac:dyDescent="0.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5.5" customHeight="1" x14ac:dyDescent="0.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5.5" customHeight="1" x14ac:dyDescent="0.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5.5" customHeight="1" x14ac:dyDescent="0.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5.5" customHeight="1" x14ac:dyDescent="0.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5.5" customHeight="1" x14ac:dyDescent="0.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5.5" customHeight="1" x14ac:dyDescent="0.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5.5" customHeight="1" x14ac:dyDescent="0.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5.5" customHeight="1" x14ac:dyDescent="0.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5.5" customHeight="1" x14ac:dyDescent="0.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5.5" customHeight="1" x14ac:dyDescent="0.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5.5" customHeight="1" x14ac:dyDescent="0.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5.5" customHeight="1" x14ac:dyDescent="0.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5.5" customHeight="1" x14ac:dyDescent="0.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5.5" customHeight="1" x14ac:dyDescent="0.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5.5" customHeight="1" x14ac:dyDescent="0.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5.5" customHeight="1" x14ac:dyDescent="0.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5.5" customHeight="1" x14ac:dyDescent="0.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5.5" customHeight="1" x14ac:dyDescent="0.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5.5" customHeight="1" x14ac:dyDescent="0.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5.5" customHeight="1" x14ac:dyDescent="0.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5.5" customHeight="1" x14ac:dyDescent="0.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5.5" customHeight="1" x14ac:dyDescent="0.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5.5" customHeight="1" x14ac:dyDescent="0.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5.5" customHeight="1" x14ac:dyDescent="0.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5.5" customHeight="1" x14ac:dyDescent="0.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5.5" customHeight="1" x14ac:dyDescent="0.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5.5" customHeight="1" x14ac:dyDescent="0.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5.5" customHeight="1" x14ac:dyDescent="0.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5.5" customHeight="1" x14ac:dyDescent="0.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5.5" customHeight="1" x14ac:dyDescent="0.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5.5" customHeight="1" x14ac:dyDescent="0.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5.5" customHeight="1" x14ac:dyDescent="0.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5.5" customHeight="1" x14ac:dyDescent="0.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5.5" customHeight="1" x14ac:dyDescent="0.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5.5" customHeight="1" x14ac:dyDescent="0.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5.5" customHeight="1" x14ac:dyDescent="0.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5.5" customHeight="1" x14ac:dyDescent="0.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5.5" customHeight="1" x14ac:dyDescent="0.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5.5" customHeight="1" x14ac:dyDescent="0.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5.5" customHeight="1" x14ac:dyDescent="0.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5.5" customHeight="1" x14ac:dyDescent="0.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5.5" customHeight="1" x14ac:dyDescent="0.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5.5" customHeight="1" x14ac:dyDescent="0.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5.5" customHeight="1" x14ac:dyDescent="0.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5.5" customHeight="1" x14ac:dyDescent="0.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5.5" customHeight="1" x14ac:dyDescent="0.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5.5" customHeight="1" x14ac:dyDescent="0.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5.5" customHeight="1" x14ac:dyDescent="0.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5.5" customHeight="1" x14ac:dyDescent="0.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5.5" customHeight="1" x14ac:dyDescent="0.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5.5" customHeight="1" x14ac:dyDescent="0.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5.5" customHeight="1" x14ac:dyDescent="0.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5.5" customHeight="1" x14ac:dyDescent="0.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5.5" customHeight="1" x14ac:dyDescent="0.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5.5" customHeight="1" x14ac:dyDescent="0.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5.5" customHeight="1" x14ac:dyDescent="0.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5.5" customHeight="1" x14ac:dyDescent="0.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5.5" customHeight="1" x14ac:dyDescent="0.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5.5" customHeight="1" x14ac:dyDescent="0.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5.5" customHeight="1" x14ac:dyDescent="0.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5.5" customHeight="1" x14ac:dyDescent="0.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5.5" customHeight="1" x14ac:dyDescent="0.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5.5" customHeight="1" x14ac:dyDescent="0.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5.5" customHeight="1" x14ac:dyDescent="0.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5.5" customHeight="1" x14ac:dyDescent="0.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5.5" customHeight="1" x14ac:dyDescent="0.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5.5" customHeight="1" x14ac:dyDescent="0.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5.5" customHeight="1" x14ac:dyDescent="0.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5.5" customHeight="1" x14ac:dyDescent="0.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5.5" customHeight="1" x14ac:dyDescent="0.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5.5" customHeight="1" x14ac:dyDescent="0.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5.5" customHeight="1" x14ac:dyDescent="0.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5.5" customHeight="1" x14ac:dyDescent="0.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5.5" customHeight="1" x14ac:dyDescent="0.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5.5" customHeight="1" x14ac:dyDescent="0.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5.5" customHeight="1" x14ac:dyDescent="0.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5.5" customHeight="1" x14ac:dyDescent="0.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5.5" customHeight="1" x14ac:dyDescent="0.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5.5" customHeight="1" x14ac:dyDescent="0.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5.5" customHeight="1" x14ac:dyDescent="0.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5.5" customHeight="1" x14ac:dyDescent="0.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5.5" customHeight="1" x14ac:dyDescent="0.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5.5" customHeight="1" x14ac:dyDescent="0.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5.5" customHeight="1" x14ac:dyDescent="0.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5.5" customHeight="1" x14ac:dyDescent="0.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5.5" customHeight="1" x14ac:dyDescent="0.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5.5" customHeight="1" x14ac:dyDescent="0.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5.5" customHeight="1" x14ac:dyDescent="0.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5.5" customHeight="1" x14ac:dyDescent="0.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5.5" customHeight="1" x14ac:dyDescent="0.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5.5" customHeight="1" x14ac:dyDescent="0.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5.5" customHeight="1" x14ac:dyDescent="0.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5.5" customHeight="1" x14ac:dyDescent="0.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5.5" customHeight="1" x14ac:dyDescent="0.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5.5" customHeight="1" x14ac:dyDescent="0.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5.5" customHeight="1" x14ac:dyDescent="0.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5.5" customHeight="1" x14ac:dyDescent="0.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5.5" customHeight="1" x14ac:dyDescent="0.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5.5" customHeight="1" x14ac:dyDescent="0.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5.5" customHeight="1" x14ac:dyDescent="0.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5.5" customHeight="1" x14ac:dyDescent="0.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5.5" customHeight="1" x14ac:dyDescent="0.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5.5" customHeight="1" x14ac:dyDescent="0.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5.5" customHeight="1" x14ac:dyDescent="0.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5.5" customHeight="1" x14ac:dyDescent="0.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5.5" customHeight="1" x14ac:dyDescent="0.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5.5" customHeight="1" x14ac:dyDescent="0.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5.5" customHeight="1" x14ac:dyDescent="0.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5.5" customHeight="1" x14ac:dyDescent="0.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5.5" customHeight="1" x14ac:dyDescent="0.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5.5" customHeight="1" x14ac:dyDescent="0.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5.5" customHeight="1" x14ac:dyDescent="0.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5.5" customHeight="1" x14ac:dyDescent="0.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5.5" customHeight="1" x14ac:dyDescent="0.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5.5" customHeight="1" x14ac:dyDescent="0.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5.5" customHeight="1" x14ac:dyDescent="0.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5.5" customHeight="1" x14ac:dyDescent="0.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5.5" customHeight="1" x14ac:dyDescent="0.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5.5" customHeight="1" x14ac:dyDescent="0.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5.5" customHeight="1" x14ac:dyDescent="0.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5.5" customHeight="1" x14ac:dyDescent="0.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5.5" customHeight="1" x14ac:dyDescent="0.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5.5" customHeight="1" x14ac:dyDescent="0.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5.5" customHeight="1" x14ac:dyDescent="0.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5.5" customHeight="1" x14ac:dyDescent="0.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5.5" customHeight="1" x14ac:dyDescent="0.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5.5" customHeight="1" x14ac:dyDescent="0.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5.5" customHeight="1" x14ac:dyDescent="0.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5.5" customHeight="1" x14ac:dyDescent="0.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5.5" customHeight="1" x14ac:dyDescent="0.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5.5" customHeight="1" x14ac:dyDescent="0.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5.5" customHeight="1" x14ac:dyDescent="0.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5.5" customHeight="1" x14ac:dyDescent="0.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5.5" customHeight="1" x14ac:dyDescent="0.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5.5" customHeight="1" x14ac:dyDescent="0.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5.5" customHeight="1" x14ac:dyDescent="0.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5.5" customHeight="1" x14ac:dyDescent="0.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5.5" customHeight="1" x14ac:dyDescent="0.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5.5" customHeight="1" x14ac:dyDescent="0.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5.5" customHeight="1" x14ac:dyDescent="0.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5.5" customHeight="1" x14ac:dyDescent="0.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5.5" customHeight="1" x14ac:dyDescent="0.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5.5" customHeight="1" x14ac:dyDescent="0.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5.5" customHeight="1" x14ac:dyDescent="0.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5.5" customHeight="1" x14ac:dyDescent="0.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5.5" customHeight="1" x14ac:dyDescent="0.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5.5" customHeight="1" x14ac:dyDescent="0.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5.5" customHeight="1" x14ac:dyDescent="0.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5.5" customHeight="1" x14ac:dyDescent="0.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5.5" customHeight="1" x14ac:dyDescent="0.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5.5" customHeight="1" x14ac:dyDescent="0.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5.5" customHeight="1" x14ac:dyDescent="0.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5.5" customHeight="1" x14ac:dyDescent="0.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5.5" customHeight="1" x14ac:dyDescent="0.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5.5" customHeight="1" x14ac:dyDescent="0.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5.5" customHeight="1" x14ac:dyDescent="0.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5.5" customHeight="1" x14ac:dyDescent="0.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5.5" customHeight="1" x14ac:dyDescent="0.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5.5" customHeight="1" x14ac:dyDescent="0.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5.5" customHeight="1" x14ac:dyDescent="0.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5.5" customHeight="1" x14ac:dyDescent="0.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5.5" customHeight="1" x14ac:dyDescent="0.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5.5" customHeight="1" x14ac:dyDescent="0.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5.5" customHeight="1" x14ac:dyDescent="0.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5.5" customHeight="1" x14ac:dyDescent="0.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5.5" customHeight="1" x14ac:dyDescent="0.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5.5" customHeight="1" x14ac:dyDescent="0.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5.5" customHeight="1" x14ac:dyDescent="0.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5.5" customHeight="1" x14ac:dyDescent="0.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5.5" customHeight="1" x14ac:dyDescent="0.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5.5" customHeight="1" x14ac:dyDescent="0.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5.5" customHeight="1" x14ac:dyDescent="0.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5.5" customHeight="1" x14ac:dyDescent="0.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5.5" customHeight="1" x14ac:dyDescent="0.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5.5" customHeight="1" x14ac:dyDescent="0.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5.5" customHeight="1" x14ac:dyDescent="0.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5.5" customHeight="1" x14ac:dyDescent="0.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5.5" customHeight="1" x14ac:dyDescent="0.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5.5" customHeight="1" x14ac:dyDescent="0.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5.5" customHeight="1" x14ac:dyDescent="0.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5.5" customHeight="1" x14ac:dyDescent="0.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5.5" customHeight="1" x14ac:dyDescent="0.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5.5" customHeight="1" x14ac:dyDescent="0.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5.5" customHeight="1" x14ac:dyDescent="0.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5.5" customHeight="1" x14ac:dyDescent="0.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5.5" customHeight="1" x14ac:dyDescent="0.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5.5" customHeight="1" x14ac:dyDescent="0.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5.5" customHeight="1" x14ac:dyDescent="0.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5.5" customHeight="1" x14ac:dyDescent="0.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5.5" customHeight="1" x14ac:dyDescent="0.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5.5" customHeight="1" x14ac:dyDescent="0.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5.5" customHeight="1" x14ac:dyDescent="0.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5.5" customHeight="1" x14ac:dyDescent="0.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5.5" customHeight="1" x14ac:dyDescent="0.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5.5" customHeight="1" x14ac:dyDescent="0.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5.5" customHeight="1" x14ac:dyDescent="0.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5.5" customHeight="1" x14ac:dyDescent="0.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5.5" customHeight="1" x14ac:dyDescent="0.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5.5" customHeight="1" x14ac:dyDescent="0.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5.5" customHeight="1" x14ac:dyDescent="0.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5.5" customHeight="1" x14ac:dyDescent="0.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5.5" customHeight="1" x14ac:dyDescent="0.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5.5" customHeight="1" x14ac:dyDescent="0.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5.5" customHeight="1" x14ac:dyDescent="0.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5.5" customHeight="1" x14ac:dyDescent="0.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5.5" customHeight="1" x14ac:dyDescent="0.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5.5" customHeight="1" x14ac:dyDescent="0.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5.5" customHeight="1" x14ac:dyDescent="0.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5.5" customHeight="1" x14ac:dyDescent="0.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5.5" customHeight="1" x14ac:dyDescent="0.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5.5" customHeight="1" x14ac:dyDescent="0.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5.5" customHeight="1" x14ac:dyDescent="0.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5.5" customHeight="1" x14ac:dyDescent="0.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5.5" customHeight="1" x14ac:dyDescent="0.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5.5" customHeight="1" x14ac:dyDescent="0.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5.5" customHeight="1" x14ac:dyDescent="0.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5.5" customHeight="1" x14ac:dyDescent="0.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5.5" customHeight="1" x14ac:dyDescent="0.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5.5" customHeight="1" x14ac:dyDescent="0.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5.5" customHeight="1" x14ac:dyDescent="0.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5.5" customHeight="1" x14ac:dyDescent="0.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5.5" customHeight="1" x14ac:dyDescent="0.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5.5" customHeight="1" x14ac:dyDescent="0.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5.5" customHeight="1" x14ac:dyDescent="0.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5.5" customHeight="1" x14ac:dyDescent="0.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5.5" customHeight="1" x14ac:dyDescent="0.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5.5" customHeight="1" x14ac:dyDescent="0.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5.5" customHeight="1" x14ac:dyDescent="0.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5.5" customHeight="1" x14ac:dyDescent="0.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5.5" customHeight="1" x14ac:dyDescent="0.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5.5" customHeight="1" x14ac:dyDescent="0.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5.5" customHeight="1" x14ac:dyDescent="0.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5.5" customHeight="1" x14ac:dyDescent="0.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5.5" customHeight="1" x14ac:dyDescent="0.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5.5" customHeight="1" x14ac:dyDescent="0.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5.5" customHeight="1" x14ac:dyDescent="0.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5.5" customHeight="1" x14ac:dyDescent="0.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5.5" customHeight="1" x14ac:dyDescent="0.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5.5" customHeight="1" x14ac:dyDescent="0.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5.5" customHeight="1" x14ac:dyDescent="0.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5.5" customHeight="1" x14ac:dyDescent="0.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5.5" customHeight="1" x14ac:dyDescent="0.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5.5" customHeight="1" x14ac:dyDescent="0.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5.5" customHeight="1" x14ac:dyDescent="0.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5.5" customHeight="1" x14ac:dyDescent="0.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5.5" customHeight="1" x14ac:dyDescent="0.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5.5" customHeight="1" x14ac:dyDescent="0.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5.5" customHeight="1" x14ac:dyDescent="0.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5.5" customHeight="1" x14ac:dyDescent="0.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5.5" customHeight="1" x14ac:dyDescent="0.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5.5" customHeight="1" x14ac:dyDescent="0.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5.5" customHeight="1" x14ac:dyDescent="0.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5.5" customHeight="1" x14ac:dyDescent="0.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5.5" customHeight="1" x14ac:dyDescent="0.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5.5" customHeight="1" x14ac:dyDescent="0.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5.5" customHeight="1" x14ac:dyDescent="0.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5.5" customHeight="1" x14ac:dyDescent="0.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5.5" customHeight="1" x14ac:dyDescent="0.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5.5" customHeight="1" x14ac:dyDescent="0.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5.5" customHeight="1" x14ac:dyDescent="0.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5.5" customHeight="1" x14ac:dyDescent="0.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5.5" customHeight="1" x14ac:dyDescent="0.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5.5" customHeight="1" x14ac:dyDescent="0.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5.5" customHeight="1" x14ac:dyDescent="0.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5.5" customHeight="1" x14ac:dyDescent="0.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5.5" customHeight="1" x14ac:dyDescent="0.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5.5" customHeight="1" x14ac:dyDescent="0.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5.5" customHeight="1" x14ac:dyDescent="0.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5.5" customHeight="1" x14ac:dyDescent="0.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5.5" customHeight="1" x14ac:dyDescent="0.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5.5" customHeight="1" x14ac:dyDescent="0.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5.5" customHeight="1" x14ac:dyDescent="0.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5.5" customHeight="1" x14ac:dyDescent="0.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5.5" customHeight="1" x14ac:dyDescent="0.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5.5" customHeight="1" x14ac:dyDescent="0.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5.5" customHeight="1" x14ac:dyDescent="0.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5.5" customHeight="1" x14ac:dyDescent="0.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5.5" customHeight="1" x14ac:dyDescent="0.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5.5" customHeight="1" x14ac:dyDescent="0.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5.5" customHeight="1" x14ac:dyDescent="0.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5.5" customHeight="1" x14ac:dyDescent="0.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5.5" customHeight="1" x14ac:dyDescent="0.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5.5" customHeight="1" x14ac:dyDescent="0.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5.5" customHeight="1" x14ac:dyDescent="0.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5.5" customHeight="1" x14ac:dyDescent="0.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5.5" customHeight="1" x14ac:dyDescent="0.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5.5" customHeight="1" x14ac:dyDescent="0.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5.5" customHeight="1" x14ac:dyDescent="0.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5.5" customHeight="1" x14ac:dyDescent="0.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5.5" customHeight="1" x14ac:dyDescent="0.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5.5" customHeight="1" x14ac:dyDescent="0.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5.5" customHeight="1" x14ac:dyDescent="0.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5.5" customHeight="1" x14ac:dyDescent="0.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5.5" customHeight="1" x14ac:dyDescent="0.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5.5" customHeight="1" x14ac:dyDescent="0.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5.5" customHeight="1" x14ac:dyDescent="0.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5.5" customHeight="1" x14ac:dyDescent="0.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5.5" customHeight="1" x14ac:dyDescent="0.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5.5" customHeight="1" x14ac:dyDescent="0.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5.5" customHeight="1" x14ac:dyDescent="0.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5.5" customHeight="1" x14ac:dyDescent="0.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5.5" customHeight="1" x14ac:dyDescent="0.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5.5" customHeight="1" x14ac:dyDescent="0.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5.5" customHeight="1" x14ac:dyDescent="0.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5.5" customHeight="1" x14ac:dyDescent="0.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5.5" customHeight="1" x14ac:dyDescent="0.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5.5" customHeight="1" x14ac:dyDescent="0.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5.5" customHeight="1" x14ac:dyDescent="0.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5.5" customHeight="1" x14ac:dyDescent="0.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5.5" customHeight="1" x14ac:dyDescent="0.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5.5" customHeight="1" x14ac:dyDescent="0.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5.5" customHeight="1" x14ac:dyDescent="0.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5.5" customHeight="1" x14ac:dyDescent="0.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5.5" customHeight="1" x14ac:dyDescent="0.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5.5" customHeight="1" x14ac:dyDescent="0.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5.5" customHeight="1" x14ac:dyDescent="0.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5.5" customHeight="1" x14ac:dyDescent="0.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5.5" customHeight="1" x14ac:dyDescent="0.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5.5" customHeight="1" x14ac:dyDescent="0.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5.5" customHeight="1" x14ac:dyDescent="0.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5.5" customHeight="1" x14ac:dyDescent="0.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5.5" customHeight="1" x14ac:dyDescent="0.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5.5" customHeight="1" x14ac:dyDescent="0.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5.5" customHeight="1" x14ac:dyDescent="0.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5.5" customHeight="1" x14ac:dyDescent="0.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5.5" customHeight="1" x14ac:dyDescent="0.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5.5" customHeight="1" x14ac:dyDescent="0.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5.5" customHeight="1" x14ac:dyDescent="0.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5.5" customHeight="1" x14ac:dyDescent="0.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5.5" customHeight="1" x14ac:dyDescent="0.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5.5" customHeight="1" x14ac:dyDescent="0.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5.5" customHeight="1" x14ac:dyDescent="0.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5.5" customHeight="1" x14ac:dyDescent="0.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5.5" customHeight="1" x14ac:dyDescent="0.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5.5" customHeight="1" x14ac:dyDescent="0.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5.5" customHeight="1" x14ac:dyDescent="0.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5.5" customHeight="1" x14ac:dyDescent="0.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5.5" customHeight="1" x14ac:dyDescent="0.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5.5" customHeight="1" x14ac:dyDescent="0.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5.5" customHeight="1" x14ac:dyDescent="0.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5.5" customHeight="1" x14ac:dyDescent="0.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5.5" customHeight="1" x14ac:dyDescent="0.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5.5" customHeight="1" x14ac:dyDescent="0.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5.5" customHeight="1" x14ac:dyDescent="0.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5.5" customHeight="1" x14ac:dyDescent="0.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5.5" customHeight="1" x14ac:dyDescent="0.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5.5" customHeight="1" x14ac:dyDescent="0.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5.5" customHeight="1" x14ac:dyDescent="0.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5.5" customHeight="1" x14ac:dyDescent="0.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5.5" customHeight="1" x14ac:dyDescent="0.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5.5" customHeight="1" x14ac:dyDescent="0.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5.5" customHeight="1" x14ac:dyDescent="0.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5.5" customHeight="1" x14ac:dyDescent="0.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5.5" customHeight="1" x14ac:dyDescent="0.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5.5" customHeight="1" x14ac:dyDescent="0.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5.5" customHeight="1" x14ac:dyDescent="0.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5.5" customHeight="1" x14ac:dyDescent="0.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5.5" customHeight="1" x14ac:dyDescent="0.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5.5" customHeight="1" x14ac:dyDescent="0.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5.5" customHeight="1" x14ac:dyDescent="0.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5.5" customHeight="1" x14ac:dyDescent="0.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5.5" customHeight="1" x14ac:dyDescent="0.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5.5" customHeight="1" x14ac:dyDescent="0.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5.5" customHeight="1" x14ac:dyDescent="0.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5.5" customHeight="1" x14ac:dyDescent="0.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5.5" customHeight="1" x14ac:dyDescent="0.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5.5" customHeight="1" x14ac:dyDescent="0.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5.5" customHeight="1" x14ac:dyDescent="0.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5.5" customHeight="1" x14ac:dyDescent="0.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5.5" customHeight="1" x14ac:dyDescent="0.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5.5" customHeight="1" x14ac:dyDescent="0.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5.5" customHeight="1" x14ac:dyDescent="0.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5.5" customHeight="1" x14ac:dyDescent="0.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5.5" customHeight="1" x14ac:dyDescent="0.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5.5" customHeight="1" x14ac:dyDescent="0.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5.5" customHeight="1" x14ac:dyDescent="0.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5.5" customHeight="1" x14ac:dyDescent="0.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5.5" customHeight="1" x14ac:dyDescent="0.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5.5" customHeight="1" x14ac:dyDescent="0.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5.5" customHeight="1" x14ac:dyDescent="0.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5.5" customHeight="1" x14ac:dyDescent="0.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5.5" customHeight="1" x14ac:dyDescent="0.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5.5" customHeight="1" x14ac:dyDescent="0.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5.5" customHeight="1" x14ac:dyDescent="0.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5.5" customHeight="1" x14ac:dyDescent="0.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5.5" customHeight="1" x14ac:dyDescent="0.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5.5" customHeight="1" x14ac:dyDescent="0.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5.5" customHeight="1" x14ac:dyDescent="0.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5.5" customHeight="1" x14ac:dyDescent="0.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5.5" customHeight="1" x14ac:dyDescent="0.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5.5" customHeight="1" x14ac:dyDescent="0.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5.5" customHeight="1" x14ac:dyDescent="0.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5.5" customHeight="1" x14ac:dyDescent="0.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5.5" customHeight="1" x14ac:dyDescent="0.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5.5" customHeight="1" x14ac:dyDescent="0.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5.5" customHeight="1" x14ac:dyDescent="0.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5.5" customHeight="1" x14ac:dyDescent="0.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5.5" customHeight="1" x14ac:dyDescent="0.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5.5" customHeight="1" x14ac:dyDescent="0.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5.5" customHeight="1" x14ac:dyDescent="0.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5.5" customHeight="1" x14ac:dyDescent="0.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5.5" customHeight="1" x14ac:dyDescent="0.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5.5" customHeight="1" x14ac:dyDescent="0.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5.5" customHeight="1" x14ac:dyDescent="0.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5.5" customHeight="1" x14ac:dyDescent="0.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5.5" customHeight="1" x14ac:dyDescent="0.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5.5" customHeight="1" x14ac:dyDescent="0.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5.5" customHeight="1" x14ac:dyDescent="0.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5.5" customHeight="1" x14ac:dyDescent="0.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5.5" customHeight="1" x14ac:dyDescent="0.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5.5" customHeight="1" x14ac:dyDescent="0.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5.5" customHeight="1" x14ac:dyDescent="0.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5.5" customHeight="1" x14ac:dyDescent="0.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5.5" customHeight="1" x14ac:dyDescent="0.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5.5" customHeight="1" x14ac:dyDescent="0.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5.5" customHeight="1" x14ac:dyDescent="0.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5.5" customHeight="1" x14ac:dyDescent="0.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5.5" customHeight="1" x14ac:dyDescent="0.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5.5" customHeight="1" x14ac:dyDescent="0.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5.5" customHeight="1" x14ac:dyDescent="0.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5.5" customHeight="1" x14ac:dyDescent="0.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5.5" customHeight="1" x14ac:dyDescent="0.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5.5" customHeight="1" x14ac:dyDescent="0.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5.5" customHeight="1" x14ac:dyDescent="0.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5.5" customHeight="1" x14ac:dyDescent="0.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5.5" customHeight="1" x14ac:dyDescent="0.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5.5" customHeight="1" x14ac:dyDescent="0.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5.5" customHeight="1" x14ac:dyDescent="0.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5.5" customHeight="1" x14ac:dyDescent="0.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5.5" customHeight="1" x14ac:dyDescent="0.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5.5" customHeight="1" x14ac:dyDescent="0.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5.5" customHeight="1" x14ac:dyDescent="0.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5.5" customHeight="1" x14ac:dyDescent="0.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5.5" customHeight="1" x14ac:dyDescent="0.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5.5" customHeight="1" x14ac:dyDescent="0.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5.5" customHeight="1" x14ac:dyDescent="0.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5.5" customHeight="1" x14ac:dyDescent="0.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5.5" customHeight="1" x14ac:dyDescent="0.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5.5" customHeight="1" x14ac:dyDescent="0.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5.5" customHeight="1" x14ac:dyDescent="0.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5.5" customHeight="1" x14ac:dyDescent="0.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5.5" customHeight="1" x14ac:dyDescent="0.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5.5" customHeight="1" x14ac:dyDescent="0.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5.5" customHeight="1" x14ac:dyDescent="0.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5.5" customHeight="1" x14ac:dyDescent="0.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5.5" customHeight="1" x14ac:dyDescent="0.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5.5" customHeight="1" x14ac:dyDescent="0.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5.5" customHeight="1" x14ac:dyDescent="0.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5.5" customHeight="1" x14ac:dyDescent="0.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5.5" customHeight="1" x14ac:dyDescent="0.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5.5" customHeight="1" x14ac:dyDescent="0.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5.5" customHeight="1" x14ac:dyDescent="0.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5.5" customHeight="1" x14ac:dyDescent="0.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5.5" customHeight="1" x14ac:dyDescent="0.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5.5" customHeight="1" x14ac:dyDescent="0.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5.5" customHeight="1" x14ac:dyDescent="0.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5.5" customHeight="1" x14ac:dyDescent="0.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5.5" customHeight="1" x14ac:dyDescent="0.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5.5" customHeight="1" x14ac:dyDescent="0.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5.5" customHeight="1" x14ac:dyDescent="0.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5.5" customHeight="1" x14ac:dyDescent="0.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5.5" customHeight="1" x14ac:dyDescent="0.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5.5" customHeight="1" x14ac:dyDescent="0.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5.5" customHeight="1" x14ac:dyDescent="0.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5.5" customHeight="1" x14ac:dyDescent="0.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5.5" customHeight="1" x14ac:dyDescent="0.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5.5" customHeight="1" x14ac:dyDescent="0.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5.5" customHeight="1" x14ac:dyDescent="0.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5.5" customHeight="1" x14ac:dyDescent="0.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5.5" customHeight="1" x14ac:dyDescent="0.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5.5" customHeight="1" x14ac:dyDescent="0.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5.5" customHeight="1" x14ac:dyDescent="0.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5.5" customHeight="1" x14ac:dyDescent="0.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5.5" customHeight="1" x14ac:dyDescent="0.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5.5" customHeight="1" x14ac:dyDescent="0.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5.5" customHeight="1" x14ac:dyDescent="0.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5.5" customHeight="1" x14ac:dyDescent="0.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5.5" customHeight="1" x14ac:dyDescent="0.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5.5" customHeight="1" x14ac:dyDescent="0.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5.5" customHeight="1" x14ac:dyDescent="0.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5.5" customHeight="1" x14ac:dyDescent="0.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5.5" customHeight="1" x14ac:dyDescent="0.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5.5" customHeight="1" x14ac:dyDescent="0.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5.5" customHeight="1" x14ac:dyDescent="0.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5.5" customHeight="1" x14ac:dyDescent="0.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5.5" customHeight="1" x14ac:dyDescent="0.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5.5" customHeight="1" x14ac:dyDescent="0.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5.5" customHeight="1" x14ac:dyDescent="0.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5.5" customHeight="1" x14ac:dyDescent="0.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5.5" customHeight="1" x14ac:dyDescent="0.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5.5" customHeight="1" x14ac:dyDescent="0.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5.5" customHeight="1" x14ac:dyDescent="0.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5.5" customHeight="1" x14ac:dyDescent="0.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5.5" customHeight="1" x14ac:dyDescent="0.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5.5" customHeight="1" x14ac:dyDescent="0.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5.5" customHeight="1" x14ac:dyDescent="0.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5.5" customHeight="1" x14ac:dyDescent="0.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5.5" customHeight="1" x14ac:dyDescent="0.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5.5" customHeight="1" x14ac:dyDescent="0.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5.5" customHeight="1" x14ac:dyDescent="0.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5.5" customHeight="1" x14ac:dyDescent="0.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5.5" customHeight="1" x14ac:dyDescent="0.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5.5" customHeight="1" x14ac:dyDescent="0.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5.5" customHeight="1" x14ac:dyDescent="0.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5.5" customHeight="1" x14ac:dyDescent="0.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5.5" customHeight="1" x14ac:dyDescent="0.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5.5" customHeight="1" x14ac:dyDescent="0.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5.5" customHeight="1" x14ac:dyDescent="0.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5.5" customHeight="1" x14ac:dyDescent="0.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5.5" customHeight="1" x14ac:dyDescent="0.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5.5" customHeight="1" x14ac:dyDescent="0.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5.5" customHeight="1" x14ac:dyDescent="0.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5.5" customHeight="1" x14ac:dyDescent="0.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5.5" customHeight="1" x14ac:dyDescent="0.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5.5" customHeight="1" x14ac:dyDescent="0.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5.5" customHeight="1" x14ac:dyDescent="0.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5.5" customHeight="1" x14ac:dyDescent="0.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5.5" customHeight="1" x14ac:dyDescent="0.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5.5" customHeight="1" x14ac:dyDescent="0.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5.5" customHeight="1" x14ac:dyDescent="0.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5.5" customHeight="1" x14ac:dyDescent="0.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5.5" customHeight="1" x14ac:dyDescent="0.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5.5" customHeight="1" x14ac:dyDescent="0.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5.5" customHeight="1" x14ac:dyDescent="0.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5.5" customHeight="1" x14ac:dyDescent="0.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5.5" customHeight="1" x14ac:dyDescent="0.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5.5" customHeight="1" x14ac:dyDescent="0.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5.5" customHeight="1" x14ac:dyDescent="0.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5.5" customHeight="1" x14ac:dyDescent="0.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5.5" customHeight="1" x14ac:dyDescent="0.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5.5" customHeight="1" x14ac:dyDescent="0.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5.5" customHeight="1" x14ac:dyDescent="0.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5.5" customHeight="1" x14ac:dyDescent="0.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5.5" customHeight="1" x14ac:dyDescent="0.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5.5" customHeight="1" x14ac:dyDescent="0.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5.5" customHeight="1" x14ac:dyDescent="0.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5.5" customHeight="1" x14ac:dyDescent="0.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5.5" customHeight="1" x14ac:dyDescent="0.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5.5" customHeight="1" x14ac:dyDescent="0.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5.5" customHeight="1" x14ac:dyDescent="0.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5.5" customHeight="1" x14ac:dyDescent="0.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5.5" customHeight="1" x14ac:dyDescent="0.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5.5" customHeight="1" x14ac:dyDescent="0.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5.5" customHeight="1" x14ac:dyDescent="0.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5.5" customHeight="1" x14ac:dyDescent="0.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5.5" customHeight="1" x14ac:dyDescent="0.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5.5" customHeight="1" x14ac:dyDescent="0.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5.5" customHeight="1" x14ac:dyDescent="0.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5.5" customHeight="1" x14ac:dyDescent="0.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5.5" customHeight="1" x14ac:dyDescent="0.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5.5" customHeight="1" x14ac:dyDescent="0.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5.5" customHeight="1" x14ac:dyDescent="0.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5.5" customHeight="1" x14ac:dyDescent="0.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5.5" customHeight="1" x14ac:dyDescent="0.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5.5" customHeight="1" x14ac:dyDescent="0.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5.5" customHeight="1" x14ac:dyDescent="0.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5.5" customHeight="1" x14ac:dyDescent="0.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5.5" customHeight="1" x14ac:dyDescent="0.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5.5" customHeight="1" x14ac:dyDescent="0.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5.5" customHeight="1" x14ac:dyDescent="0.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5.5" customHeight="1" x14ac:dyDescent="0.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5.5" customHeight="1" x14ac:dyDescent="0.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5.5" customHeight="1" x14ac:dyDescent="0.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5.5" customHeight="1" x14ac:dyDescent="0.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5.5" customHeight="1" x14ac:dyDescent="0.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5.5" customHeight="1" x14ac:dyDescent="0.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5.5" customHeight="1" x14ac:dyDescent="0.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5.5" customHeight="1" x14ac:dyDescent="0.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5.5" customHeight="1" x14ac:dyDescent="0.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5.5" customHeight="1" x14ac:dyDescent="0.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5.5" customHeight="1" x14ac:dyDescent="0.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5.5" customHeight="1" x14ac:dyDescent="0.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5.5" customHeight="1" x14ac:dyDescent="0.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5.5" customHeight="1" x14ac:dyDescent="0.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5.5" customHeight="1" x14ac:dyDescent="0.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5.5" customHeight="1" x14ac:dyDescent="0.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5.5" customHeight="1" x14ac:dyDescent="0.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5.5" customHeight="1" x14ac:dyDescent="0.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5.5" customHeight="1" x14ac:dyDescent="0.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5.5" customHeight="1" x14ac:dyDescent="0.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5.5" customHeight="1" x14ac:dyDescent="0.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5.5" customHeight="1" x14ac:dyDescent="0.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5.5" customHeight="1" x14ac:dyDescent="0.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5.5" customHeight="1" x14ac:dyDescent="0.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5.5" customHeight="1" x14ac:dyDescent="0.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5.5" customHeight="1" x14ac:dyDescent="0.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5.5" customHeight="1" x14ac:dyDescent="0.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5.5" customHeight="1" x14ac:dyDescent="0.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5.5" customHeight="1" x14ac:dyDescent="0.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5.5" customHeight="1" x14ac:dyDescent="0.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5.5" customHeight="1" x14ac:dyDescent="0.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5.5" customHeight="1" x14ac:dyDescent="0.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5.5" customHeight="1" x14ac:dyDescent="0.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5.5" customHeight="1" x14ac:dyDescent="0.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5.5" customHeight="1" x14ac:dyDescent="0.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5.5" customHeight="1" x14ac:dyDescent="0.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5.5" customHeight="1" x14ac:dyDescent="0.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5.5" customHeight="1" x14ac:dyDescent="0.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5.5" customHeight="1" x14ac:dyDescent="0.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5.5" customHeight="1" x14ac:dyDescent="0.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5.5" customHeight="1" x14ac:dyDescent="0.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5.5" customHeight="1" x14ac:dyDescent="0.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5.5" customHeight="1" x14ac:dyDescent="0.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5.5" customHeight="1" x14ac:dyDescent="0.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5.5" customHeight="1" x14ac:dyDescent="0.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5.5" customHeight="1" x14ac:dyDescent="0.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5.5" customHeight="1" x14ac:dyDescent="0.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5.5" customHeight="1" x14ac:dyDescent="0.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5.5" customHeight="1" x14ac:dyDescent="0.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5.5" customHeight="1" x14ac:dyDescent="0.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5.5" customHeight="1" x14ac:dyDescent="0.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5.5" customHeight="1" x14ac:dyDescent="0.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5.5" customHeight="1" x14ac:dyDescent="0.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5.5" customHeight="1" x14ac:dyDescent="0.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5.5" customHeight="1" x14ac:dyDescent="0.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5.5" customHeight="1" x14ac:dyDescent="0.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5.5" customHeight="1" x14ac:dyDescent="0.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5.5" customHeight="1" x14ac:dyDescent="0.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5.5" customHeight="1" x14ac:dyDescent="0.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5.5" customHeight="1" x14ac:dyDescent="0.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5.5" customHeight="1" x14ac:dyDescent="0.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5.5" customHeight="1" x14ac:dyDescent="0.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5.5" customHeight="1" x14ac:dyDescent="0.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5.5" customHeight="1" x14ac:dyDescent="0.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5.5" customHeight="1" x14ac:dyDescent="0.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5.5" customHeight="1" x14ac:dyDescent="0.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5.5" customHeight="1" x14ac:dyDescent="0.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5.5" customHeight="1" x14ac:dyDescent="0.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5.5" customHeight="1" x14ac:dyDescent="0.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5.5" customHeight="1" x14ac:dyDescent="0.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5.5" customHeight="1" x14ac:dyDescent="0.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5.5" customHeight="1" x14ac:dyDescent="0.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5.5" customHeight="1" x14ac:dyDescent="0.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5.5" customHeight="1" x14ac:dyDescent="0.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5.5" customHeight="1" x14ac:dyDescent="0.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5.5" customHeight="1" x14ac:dyDescent="0.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5.5" customHeight="1" x14ac:dyDescent="0.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5.5" customHeight="1" x14ac:dyDescent="0.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5.5" customHeight="1" x14ac:dyDescent="0.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5.5" customHeight="1" x14ac:dyDescent="0.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5.5" customHeight="1" x14ac:dyDescent="0.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5.5" customHeight="1" x14ac:dyDescent="0.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5.5" customHeight="1" x14ac:dyDescent="0.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5.5" customHeight="1" x14ac:dyDescent="0.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5.5" customHeight="1" x14ac:dyDescent="0.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5.5" customHeight="1" x14ac:dyDescent="0.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5.5" customHeight="1" x14ac:dyDescent="0.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5.5" customHeight="1" x14ac:dyDescent="0.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5.5" customHeight="1" x14ac:dyDescent="0.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5.5" customHeight="1" x14ac:dyDescent="0.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5.5" customHeight="1" x14ac:dyDescent="0.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5.5" customHeight="1" x14ac:dyDescent="0.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5.5" customHeight="1" x14ac:dyDescent="0.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5.5" customHeight="1" x14ac:dyDescent="0.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5.5" customHeight="1" x14ac:dyDescent="0.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5.5" customHeight="1" x14ac:dyDescent="0.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5.5" customHeight="1" x14ac:dyDescent="0.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5.5" customHeight="1" x14ac:dyDescent="0.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5.5" customHeight="1" x14ac:dyDescent="0.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5.5" customHeight="1" x14ac:dyDescent="0.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5.5" customHeight="1" x14ac:dyDescent="0.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5.5" customHeight="1" x14ac:dyDescent="0.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5.5" customHeight="1" x14ac:dyDescent="0.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5.5" customHeight="1" x14ac:dyDescent="0.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5.5" customHeight="1" x14ac:dyDescent="0.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5.5" customHeight="1" x14ac:dyDescent="0.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5.5" customHeight="1" x14ac:dyDescent="0.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5.5" customHeight="1" x14ac:dyDescent="0.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5.5" customHeight="1" x14ac:dyDescent="0.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5.5" customHeight="1" x14ac:dyDescent="0.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5.5" customHeight="1" x14ac:dyDescent="0.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5.5" customHeight="1" x14ac:dyDescent="0.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5.5" customHeight="1" x14ac:dyDescent="0.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5.5" customHeight="1" x14ac:dyDescent="0.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5.5" customHeight="1" x14ac:dyDescent="0.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5.5" customHeight="1" x14ac:dyDescent="0.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5.5" customHeight="1" x14ac:dyDescent="0.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5.5" customHeight="1" x14ac:dyDescent="0.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5.5" customHeight="1" x14ac:dyDescent="0.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5.5" customHeight="1" x14ac:dyDescent="0.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5.5" customHeight="1" x14ac:dyDescent="0.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5.5" customHeight="1" x14ac:dyDescent="0.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5.5" customHeight="1" x14ac:dyDescent="0.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5.5" customHeight="1" x14ac:dyDescent="0.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5.5" customHeight="1" x14ac:dyDescent="0.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5.5" customHeight="1" x14ac:dyDescent="0.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5.5" customHeight="1" x14ac:dyDescent="0.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5.5" customHeight="1" x14ac:dyDescent="0.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5.5" customHeight="1" x14ac:dyDescent="0.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5.5" customHeight="1" x14ac:dyDescent="0.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5.5" customHeight="1" x14ac:dyDescent="0.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5.5" customHeight="1" x14ac:dyDescent="0.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5.5" customHeight="1" x14ac:dyDescent="0.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5.5" customHeight="1" x14ac:dyDescent="0.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5.5" customHeight="1" x14ac:dyDescent="0.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5.5" customHeight="1" x14ac:dyDescent="0.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5.5" customHeight="1" x14ac:dyDescent="0.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5.5" customHeight="1" x14ac:dyDescent="0.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5.5" customHeight="1" x14ac:dyDescent="0.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5.5" customHeight="1" x14ac:dyDescent="0.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5.5" customHeight="1" x14ac:dyDescent="0.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5.5" customHeight="1" x14ac:dyDescent="0.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5.5" customHeight="1" x14ac:dyDescent="0.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5.5" customHeight="1" x14ac:dyDescent="0.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5.5" customHeight="1" x14ac:dyDescent="0.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5.5" customHeight="1" x14ac:dyDescent="0.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5.5" customHeight="1" x14ac:dyDescent="0.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5.5" customHeight="1" x14ac:dyDescent="0.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5.5" customHeight="1" x14ac:dyDescent="0.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5.5" customHeight="1" x14ac:dyDescent="0.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5.5" customHeight="1" x14ac:dyDescent="0.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5.5" customHeight="1" x14ac:dyDescent="0.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5.5" customHeight="1" x14ac:dyDescent="0.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5.5" customHeight="1" x14ac:dyDescent="0.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5.5" customHeight="1" x14ac:dyDescent="0.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5.5" customHeight="1" x14ac:dyDescent="0.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5.5" customHeight="1" x14ac:dyDescent="0.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5.5" customHeight="1" x14ac:dyDescent="0.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5.5" customHeight="1" x14ac:dyDescent="0.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5.5" customHeight="1" x14ac:dyDescent="0.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5.5" customHeight="1" x14ac:dyDescent="0.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5.5" customHeight="1" x14ac:dyDescent="0.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5.5" customHeight="1" x14ac:dyDescent="0.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5.5" customHeight="1" x14ac:dyDescent="0.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5.5" customHeight="1" x14ac:dyDescent="0.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5.5" customHeight="1" x14ac:dyDescent="0.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5.5" customHeight="1" x14ac:dyDescent="0.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5.5" customHeight="1" x14ac:dyDescent="0.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5.5" customHeight="1" x14ac:dyDescent="0.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D103"/>
    </sheetView>
  </sheetViews>
  <sheetFormatPr defaultColWidth="14.453125" defaultRowHeight="14.5" x14ac:dyDescent="0.35"/>
  <cols>
    <col min="1" max="4" width="26.7265625" customWidth="1"/>
    <col min="5" max="6" width="10.81640625" customWidth="1"/>
    <col min="7" max="26" width="10.7265625" customWidth="1"/>
  </cols>
  <sheetData>
    <row r="1" spans="1:26" ht="21" customHeight="1" x14ac:dyDescent="0.5">
      <c r="A1" s="21" t="s">
        <v>56</v>
      </c>
      <c r="B1" s="21" t="s">
        <v>57</v>
      </c>
      <c r="C1" s="21" t="s">
        <v>6</v>
      </c>
      <c r="D1" s="21" t="s">
        <v>58</v>
      </c>
      <c r="E1" s="2"/>
      <c r="F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" customHeight="1" x14ac:dyDescent="0.5">
      <c r="A2" s="2" t="s">
        <v>59</v>
      </c>
      <c r="B2" s="2" t="s">
        <v>60</v>
      </c>
      <c r="C2" s="2">
        <v>9</v>
      </c>
      <c r="D2" s="2">
        <v>33</v>
      </c>
      <c r="E2" s="2"/>
      <c r="F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5">
      <c r="A3" s="2" t="s">
        <v>61</v>
      </c>
      <c r="B3" s="2" t="s">
        <v>62</v>
      </c>
      <c r="C3" s="2">
        <v>4</v>
      </c>
      <c r="D3" s="2">
        <v>11</v>
      </c>
      <c r="E3" s="2"/>
      <c r="F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5">
      <c r="A4" s="2" t="s">
        <v>63</v>
      </c>
      <c r="B4" s="2" t="s">
        <v>64</v>
      </c>
      <c r="C4" s="2">
        <v>89</v>
      </c>
      <c r="D4" s="2">
        <v>281</v>
      </c>
      <c r="E4" s="2"/>
      <c r="F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" customHeight="1" x14ac:dyDescent="0.5">
      <c r="A5" s="2" t="s">
        <v>65</v>
      </c>
      <c r="B5" s="2" t="s">
        <v>66</v>
      </c>
      <c r="C5" s="2">
        <v>182</v>
      </c>
      <c r="D5" s="2">
        <v>388</v>
      </c>
      <c r="E5" s="2"/>
      <c r="F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x14ac:dyDescent="0.5">
      <c r="A6" s="2" t="s">
        <v>67</v>
      </c>
      <c r="B6" s="2" t="s">
        <v>68</v>
      </c>
      <c r="C6" s="2">
        <v>-19</v>
      </c>
      <c r="D6" s="2">
        <v>56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" customHeight="1" x14ac:dyDescent="0.5">
      <c r="A7" s="2" t="s">
        <v>69</v>
      </c>
      <c r="B7" s="2" t="s">
        <v>70</v>
      </c>
      <c r="C7" s="2">
        <v>15</v>
      </c>
      <c r="D7" s="2">
        <v>42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 x14ac:dyDescent="0.5">
      <c r="A8" s="2" t="s">
        <v>71</v>
      </c>
      <c r="B8" s="2" t="s">
        <v>72</v>
      </c>
      <c r="C8" s="2">
        <v>88</v>
      </c>
      <c r="D8" s="2">
        <v>258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 x14ac:dyDescent="0.5">
      <c r="A9" s="2" t="s">
        <v>73</v>
      </c>
      <c r="B9" s="2" t="s">
        <v>74</v>
      </c>
      <c r="C9" s="2">
        <v>-25</v>
      </c>
      <c r="D9" s="2">
        <v>58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1" customHeight="1" x14ac:dyDescent="0.5">
      <c r="A10" s="2" t="s">
        <v>75</v>
      </c>
      <c r="B10" s="2" t="s">
        <v>76</v>
      </c>
      <c r="C10" s="2">
        <v>26</v>
      </c>
      <c r="D10" s="2">
        <v>174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1" customHeight="1" x14ac:dyDescent="0.5">
      <c r="A11" s="2" t="s">
        <v>77</v>
      </c>
      <c r="B11" s="2" t="s">
        <v>78</v>
      </c>
      <c r="C11" s="2">
        <v>4</v>
      </c>
      <c r="D11" s="2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1" customHeight="1" x14ac:dyDescent="0.5">
      <c r="A12" s="2" t="s">
        <v>79</v>
      </c>
      <c r="B12" s="2" t="s">
        <v>80</v>
      </c>
      <c r="C12" s="2">
        <v>40</v>
      </c>
      <c r="D12" s="2">
        <v>94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 x14ac:dyDescent="0.5">
      <c r="A13" s="2" t="s">
        <v>81</v>
      </c>
      <c r="B13" s="2" t="s">
        <v>82</v>
      </c>
      <c r="C13" s="2">
        <v>255</v>
      </c>
      <c r="D13" s="2">
        <v>601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 x14ac:dyDescent="0.5">
      <c r="A14" s="2" t="s">
        <v>83</v>
      </c>
      <c r="B14" s="2" t="s">
        <v>84</v>
      </c>
      <c r="C14" s="2">
        <v>-14</v>
      </c>
      <c r="D14" s="2">
        <v>753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1" customHeight="1" x14ac:dyDescent="0.5">
      <c r="A15" s="2" t="s">
        <v>85</v>
      </c>
      <c r="B15" s="2" t="s">
        <v>86</v>
      </c>
      <c r="C15" s="2">
        <v>9</v>
      </c>
      <c r="D15" s="2">
        <v>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1" customHeight="1" x14ac:dyDescent="0.5">
      <c r="A16" s="2" t="s">
        <v>87</v>
      </c>
      <c r="B16" s="2" t="s">
        <v>88</v>
      </c>
      <c r="C16" s="2">
        <v>195</v>
      </c>
      <c r="D16" s="22">
        <v>1243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customHeight="1" x14ac:dyDescent="0.5">
      <c r="A17" s="2" t="s">
        <v>89</v>
      </c>
      <c r="B17" s="2" t="s">
        <v>72</v>
      </c>
      <c r="C17" s="2">
        <v>30</v>
      </c>
      <c r="D17" s="2">
        <v>88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" customHeight="1" x14ac:dyDescent="0.5">
      <c r="A18" s="2" t="s">
        <v>90</v>
      </c>
      <c r="B18" s="2" t="s">
        <v>91</v>
      </c>
      <c r="C18" s="2">
        <v>-1</v>
      </c>
      <c r="D18" s="2">
        <v>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 x14ac:dyDescent="0.5">
      <c r="A19" s="2" t="s">
        <v>92</v>
      </c>
      <c r="B19" s="2" t="s">
        <v>93</v>
      </c>
      <c r="C19" s="2">
        <v>10</v>
      </c>
      <c r="D19" s="2">
        <v>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" customHeight="1" x14ac:dyDescent="0.5">
      <c r="A20" s="2" t="s">
        <v>94</v>
      </c>
      <c r="B20" s="2" t="s">
        <v>95</v>
      </c>
      <c r="C20" s="2">
        <v>432</v>
      </c>
      <c r="D20" s="22">
        <v>1843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1" customHeight="1" x14ac:dyDescent="0.5">
      <c r="A21" s="2" t="s">
        <v>96</v>
      </c>
      <c r="B21" s="2" t="s">
        <v>97</v>
      </c>
      <c r="C21" s="2">
        <v>297</v>
      </c>
      <c r="D21" s="2">
        <v>712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1" customHeight="1" x14ac:dyDescent="0.5">
      <c r="A22" s="2" t="s">
        <v>98</v>
      </c>
      <c r="B22" s="2" t="s">
        <v>93</v>
      </c>
      <c r="C22" s="2">
        <v>71</v>
      </c>
      <c r="D22" s="2">
        <v>198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customHeight="1" x14ac:dyDescent="0.5">
      <c r="A23" s="2" t="s">
        <v>99</v>
      </c>
      <c r="B23" s="2" t="s">
        <v>100</v>
      </c>
      <c r="C23" s="2">
        <v>17</v>
      </c>
      <c r="D23" s="2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 x14ac:dyDescent="0.5">
      <c r="A24" s="2" t="s">
        <v>101</v>
      </c>
      <c r="B24" s="2" t="s">
        <v>102</v>
      </c>
      <c r="C24" s="2">
        <v>241</v>
      </c>
      <c r="D24" s="2">
        <v>830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1" customHeight="1" x14ac:dyDescent="0.5">
      <c r="A25" s="2" t="s">
        <v>103</v>
      </c>
      <c r="B25" s="2" t="s">
        <v>104</v>
      </c>
      <c r="C25" s="2">
        <v>216</v>
      </c>
      <c r="D25" s="22">
        <v>1091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customHeight="1" x14ac:dyDescent="0.5">
      <c r="A26" s="2" t="s">
        <v>105</v>
      </c>
      <c r="B26" s="2" t="s">
        <v>106</v>
      </c>
      <c r="C26" s="2">
        <v>-55</v>
      </c>
      <c r="D26" s="2">
        <v>868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customHeight="1" x14ac:dyDescent="0.5">
      <c r="A27" s="2" t="s">
        <v>107</v>
      </c>
      <c r="B27" s="2" t="s">
        <v>74</v>
      </c>
      <c r="C27" s="2">
        <v>23</v>
      </c>
      <c r="D27" s="2">
        <v>74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1" customHeight="1" x14ac:dyDescent="0.5">
      <c r="A28" s="2" t="s">
        <v>108</v>
      </c>
      <c r="B28" s="2" t="s">
        <v>74</v>
      </c>
      <c r="C28" s="2">
        <v>-25</v>
      </c>
      <c r="D28" s="2">
        <v>58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 x14ac:dyDescent="0.5">
      <c r="A29" s="2" t="s">
        <v>109</v>
      </c>
      <c r="B29" s="2" t="s">
        <v>64</v>
      </c>
      <c r="C29" s="2">
        <v>89</v>
      </c>
      <c r="D29" s="2">
        <v>281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5">
      <c r="A30" s="2" t="s">
        <v>110</v>
      </c>
      <c r="B30" s="2" t="s">
        <v>70</v>
      </c>
      <c r="C30" s="2">
        <v>79</v>
      </c>
      <c r="D30" s="2">
        <v>402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 x14ac:dyDescent="0.5">
      <c r="A31" s="2" t="s">
        <v>111</v>
      </c>
      <c r="B31" s="2" t="s">
        <v>82</v>
      </c>
      <c r="C31" s="2">
        <v>16</v>
      </c>
      <c r="D31" s="2">
        <v>159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 x14ac:dyDescent="0.5">
      <c r="A32" s="2" t="s">
        <v>112</v>
      </c>
      <c r="B32" s="2" t="s">
        <v>104</v>
      </c>
      <c r="C32" s="2">
        <v>9</v>
      </c>
      <c r="D32" s="2">
        <v>115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 x14ac:dyDescent="0.5">
      <c r="A33" s="2" t="s">
        <v>113</v>
      </c>
      <c r="B33" s="2" t="s">
        <v>88</v>
      </c>
      <c r="C33" s="2">
        <v>195</v>
      </c>
      <c r="D33" s="22">
        <v>1243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5">
      <c r="A34" s="2" t="s">
        <v>114</v>
      </c>
      <c r="B34" s="2" t="s">
        <v>68</v>
      </c>
      <c r="C34" s="2">
        <v>-21</v>
      </c>
      <c r="D34" s="2">
        <v>40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customHeight="1" x14ac:dyDescent="0.5">
      <c r="A35" s="2" t="s">
        <v>115</v>
      </c>
      <c r="B35" s="2" t="s">
        <v>97</v>
      </c>
      <c r="C35" s="2">
        <v>4</v>
      </c>
      <c r="D35" s="2">
        <v>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customHeight="1" x14ac:dyDescent="0.5">
      <c r="A36" s="2" t="s">
        <v>116</v>
      </c>
      <c r="B36" s="2" t="s">
        <v>117</v>
      </c>
      <c r="C36" s="2">
        <v>2</v>
      </c>
      <c r="D36" s="2">
        <v>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 x14ac:dyDescent="0.5">
      <c r="A37" s="2" t="s">
        <v>118</v>
      </c>
      <c r="B37" s="2" t="s">
        <v>62</v>
      </c>
      <c r="C37" s="2">
        <v>2</v>
      </c>
      <c r="D37" s="2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customHeight="1" x14ac:dyDescent="0.5">
      <c r="A38" s="2" t="s">
        <v>119</v>
      </c>
      <c r="B38" s="2" t="s">
        <v>100</v>
      </c>
      <c r="C38" s="2">
        <v>9</v>
      </c>
      <c r="D38" s="2">
        <v>24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customHeight="1" x14ac:dyDescent="0.5">
      <c r="A39" s="2" t="s">
        <v>120</v>
      </c>
      <c r="B39" s="2" t="s">
        <v>68</v>
      </c>
      <c r="C39" s="2">
        <v>2</v>
      </c>
      <c r="D39" s="2">
        <v>16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" customHeight="1" x14ac:dyDescent="0.5">
      <c r="A40" s="2" t="s">
        <v>121</v>
      </c>
      <c r="B40" s="2" t="s">
        <v>60</v>
      </c>
      <c r="C40" s="2">
        <v>1</v>
      </c>
      <c r="D40" s="2">
        <v>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" customHeight="1" x14ac:dyDescent="0.5">
      <c r="A41" s="2" t="s">
        <v>122</v>
      </c>
      <c r="B41" s="2" t="s">
        <v>123</v>
      </c>
      <c r="C41" s="2">
        <v>30</v>
      </c>
      <c r="D41" s="2">
        <v>74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" customHeight="1" x14ac:dyDescent="0.5">
      <c r="A42" s="2" t="s">
        <v>124</v>
      </c>
      <c r="B42" s="2" t="s">
        <v>125</v>
      </c>
      <c r="C42" s="2">
        <v>10</v>
      </c>
      <c r="D42" s="2">
        <v>22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" customHeight="1" x14ac:dyDescent="0.5">
      <c r="A43" s="2" t="s">
        <v>126</v>
      </c>
      <c r="B43" s="2" t="s">
        <v>127</v>
      </c>
      <c r="C43" s="2">
        <v>14</v>
      </c>
      <c r="D43" s="2">
        <v>79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" customHeight="1" x14ac:dyDescent="0.5">
      <c r="A44" s="2" t="s">
        <v>128</v>
      </c>
      <c r="B44" s="2" t="s">
        <v>68</v>
      </c>
      <c r="C44" s="2">
        <v>2</v>
      </c>
      <c r="D44" s="2">
        <v>16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" customHeight="1" x14ac:dyDescent="0.5">
      <c r="A45" s="2" t="s">
        <v>129</v>
      </c>
      <c r="B45" s="2" t="s">
        <v>130</v>
      </c>
      <c r="C45" s="2">
        <v>127</v>
      </c>
      <c r="D45" s="22">
        <v>1039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" customHeight="1" x14ac:dyDescent="0.5">
      <c r="A46" s="2" t="s">
        <v>131</v>
      </c>
      <c r="B46" s="2" t="s">
        <v>64</v>
      </c>
      <c r="C46" s="2">
        <v>89</v>
      </c>
      <c r="D46" s="2">
        <v>281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" customHeight="1" x14ac:dyDescent="0.5">
      <c r="A47" s="2" t="s">
        <v>132</v>
      </c>
      <c r="B47" s="2" t="s">
        <v>133</v>
      </c>
      <c r="C47" s="2">
        <v>-99</v>
      </c>
      <c r="D47" s="2">
        <v>72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" customHeight="1" x14ac:dyDescent="0.5">
      <c r="A48" s="2" t="s">
        <v>134</v>
      </c>
      <c r="B48" s="2" t="s">
        <v>70</v>
      </c>
      <c r="C48" s="2">
        <v>15</v>
      </c>
      <c r="D48" s="2">
        <v>42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" customHeight="1" x14ac:dyDescent="0.5">
      <c r="A49" s="2" t="s">
        <v>135</v>
      </c>
      <c r="B49" s="2" t="s">
        <v>91</v>
      </c>
      <c r="C49" s="2">
        <v>165</v>
      </c>
      <c r="D49" s="2">
        <v>541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customHeight="1" x14ac:dyDescent="0.5">
      <c r="A50" s="2" t="s">
        <v>136</v>
      </c>
      <c r="B50" s="2" t="s">
        <v>68</v>
      </c>
      <c r="C50" s="2">
        <v>-21</v>
      </c>
      <c r="D50" s="2">
        <v>40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customHeight="1" x14ac:dyDescent="0.5">
      <c r="A51" s="2" t="s">
        <v>137</v>
      </c>
      <c r="B51" s="2" t="s">
        <v>93</v>
      </c>
      <c r="C51" s="2">
        <v>35</v>
      </c>
      <c r="D51" s="2">
        <v>99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customHeight="1" x14ac:dyDescent="0.5">
      <c r="A52" s="2" t="s">
        <v>138</v>
      </c>
      <c r="B52" s="2" t="s">
        <v>139</v>
      </c>
      <c r="C52" s="2">
        <v>20</v>
      </c>
      <c r="D52" s="2">
        <v>64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customHeight="1" x14ac:dyDescent="0.5">
      <c r="A53" s="2" t="s">
        <v>140</v>
      </c>
      <c r="B53" s="2" t="s">
        <v>141</v>
      </c>
      <c r="C53" s="2">
        <v>11</v>
      </c>
      <c r="D53" s="2">
        <v>137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customHeight="1" x14ac:dyDescent="0.5">
      <c r="A54" s="2" t="s">
        <v>142</v>
      </c>
      <c r="B54" s="2" t="s">
        <v>82</v>
      </c>
      <c r="C54" s="2">
        <v>255</v>
      </c>
      <c r="D54" s="2">
        <v>601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customHeight="1" x14ac:dyDescent="0.5">
      <c r="A55" s="2" t="s">
        <v>143</v>
      </c>
      <c r="B55" s="2" t="s">
        <v>74</v>
      </c>
      <c r="C55" s="2">
        <v>-25</v>
      </c>
      <c r="D55" s="2">
        <v>58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customHeight="1" x14ac:dyDescent="0.5">
      <c r="A56" s="2" t="s">
        <v>144</v>
      </c>
      <c r="B56" s="2" t="s">
        <v>72</v>
      </c>
      <c r="C56" s="2">
        <v>30</v>
      </c>
      <c r="D56" s="2">
        <v>88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customHeight="1" x14ac:dyDescent="0.5">
      <c r="A57" s="2" t="s">
        <v>145</v>
      </c>
      <c r="B57" s="2" t="s">
        <v>97</v>
      </c>
      <c r="C57" s="2">
        <v>-6</v>
      </c>
      <c r="D57" s="2">
        <v>14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 x14ac:dyDescent="0.5">
      <c r="A58" s="2" t="s">
        <v>146</v>
      </c>
      <c r="B58" s="2" t="s">
        <v>88</v>
      </c>
      <c r="C58" s="2">
        <v>195</v>
      </c>
      <c r="D58" s="22">
        <v>1243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customHeight="1" x14ac:dyDescent="0.5">
      <c r="A59" s="2" t="s">
        <v>147</v>
      </c>
      <c r="B59" s="2" t="s">
        <v>148</v>
      </c>
      <c r="C59" s="2">
        <v>-31</v>
      </c>
      <c r="D59" s="2">
        <v>83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customHeight="1" x14ac:dyDescent="0.5">
      <c r="A60" s="2" t="s">
        <v>149</v>
      </c>
      <c r="B60" s="2" t="s">
        <v>100</v>
      </c>
      <c r="C60" s="2">
        <v>17</v>
      </c>
      <c r="D60" s="2">
        <v>38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customHeight="1" x14ac:dyDescent="0.5">
      <c r="A61" s="2" t="s">
        <v>150</v>
      </c>
      <c r="B61" s="2" t="s">
        <v>117</v>
      </c>
      <c r="C61" s="2">
        <v>2</v>
      </c>
      <c r="D61" s="2">
        <v>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customHeight="1" x14ac:dyDescent="0.5">
      <c r="A62" s="2" t="s">
        <v>151</v>
      </c>
      <c r="B62" s="2" t="s">
        <v>123</v>
      </c>
      <c r="C62" s="2">
        <v>24</v>
      </c>
      <c r="D62" s="2">
        <v>54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customHeight="1" x14ac:dyDescent="0.5">
      <c r="A63" s="2" t="s">
        <v>152</v>
      </c>
      <c r="B63" s="2" t="s">
        <v>125</v>
      </c>
      <c r="C63" s="2">
        <v>10</v>
      </c>
      <c r="D63" s="2">
        <v>22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 x14ac:dyDescent="0.5">
      <c r="A64" s="2" t="s">
        <v>153</v>
      </c>
      <c r="B64" s="2" t="s">
        <v>104</v>
      </c>
      <c r="C64" s="2">
        <v>15</v>
      </c>
      <c r="D64" s="2">
        <v>55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 x14ac:dyDescent="0.5">
      <c r="A65" s="2" t="s">
        <v>154</v>
      </c>
      <c r="B65" s="2" t="s">
        <v>60</v>
      </c>
      <c r="C65" s="2">
        <v>3</v>
      </c>
      <c r="D65" s="2">
        <v>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customHeight="1" x14ac:dyDescent="0.5">
      <c r="A66" s="2" t="s">
        <v>155</v>
      </c>
      <c r="B66" s="2" t="s">
        <v>62</v>
      </c>
      <c r="C66" s="2">
        <v>17</v>
      </c>
      <c r="D66" s="2">
        <v>38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 x14ac:dyDescent="0.5">
      <c r="A67" s="2" t="s">
        <v>156</v>
      </c>
      <c r="B67" s="2" t="s">
        <v>157</v>
      </c>
      <c r="C67" s="2">
        <v>4</v>
      </c>
      <c r="D67" s="2">
        <v>10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customHeight="1" x14ac:dyDescent="0.5">
      <c r="A68" s="2" t="s">
        <v>158</v>
      </c>
      <c r="B68" s="2" t="s">
        <v>74</v>
      </c>
      <c r="C68" s="2">
        <v>-25</v>
      </c>
      <c r="D68" s="2">
        <v>58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customHeight="1" x14ac:dyDescent="0.5">
      <c r="A69" s="2" t="s">
        <v>159</v>
      </c>
      <c r="B69" s="2" t="s">
        <v>68</v>
      </c>
      <c r="C69" s="2">
        <v>-21</v>
      </c>
      <c r="D69" s="2">
        <v>40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customHeight="1" x14ac:dyDescent="0.5">
      <c r="A70" s="2" t="s">
        <v>160</v>
      </c>
      <c r="B70" s="2" t="s">
        <v>60</v>
      </c>
      <c r="C70" s="2">
        <v>9</v>
      </c>
      <c r="D70" s="2">
        <v>19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customHeight="1" x14ac:dyDescent="0.5">
      <c r="A71" s="2" t="s">
        <v>161</v>
      </c>
      <c r="B71" s="2" t="s">
        <v>127</v>
      </c>
      <c r="C71" s="2">
        <v>24</v>
      </c>
      <c r="D71" s="2">
        <v>258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customHeight="1" x14ac:dyDescent="0.5">
      <c r="A72" s="2" t="s">
        <v>162</v>
      </c>
      <c r="B72" s="2" t="s">
        <v>130</v>
      </c>
      <c r="C72" s="2">
        <v>54</v>
      </c>
      <c r="D72" s="2">
        <v>725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customHeight="1" x14ac:dyDescent="0.5">
      <c r="A73" s="2" t="s">
        <v>163</v>
      </c>
      <c r="B73" s="2" t="s">
        <v>64</v>
      </c>
      <c r="C73" s="2">
        <v>89</v>
      </c>
      <c r="D73" s="2">
        <v>281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customHeight="1" x14ac:dyDescent="0.5">
      <c r="A74" s="2" t="s">
        <v>164</v>
      </c>
      <c r="B74" s="2" t="s">
        <v>133</v>
      </c>
      <c r="C74" s="2">
        <v>-99</v>
      </c>
      <c r="D74" s="2">
        <v>72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customHeight="1" x14ac:dyDescent="0.5">
      <c r="A75" s="2" t="s">
        <v>165</v>
      </c>
      <c r="B75" s="2" t="s">
        <v>66</v>
      </c>
      <c r="C75" s="2">
        <v>182</v>
      </c>
      <c r="D75" s="2">
        <v>388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customHeight="1" x14ac:dyDescent="0.5">
      <c r="A76" s="2" t="s">
        <v>166</v>
      </c>
      <c r="B76" s="2" t="s">
        <v>70</v>
      </c>
      <c r="C76" s="2">
        <v>15</v>
      </c>
      <c r="D76" s="2">
        <v>42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customHeight="1" x14ac:dyDescent="0.5">
      <c r="A77" s="2" t="s">
        <v>167</v>
      </c>
      <c r="B77" s="2" t="s">
        <v>117</v>
      </c>
      <c r="C77" s="2">
        <v>2</v>
      </c>
      <c r="D77" s="2">
        <v>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customHeight="1" x14ac:dyDescent="0.5">
      <c r="A78" s="2" t="s">
        <v>168</v>
      </c>
      <c r="B78" s="2" t="s">
        <v>93</v>
      </c>
      <c r="C78" s="2">
        <v>35</v>
      </c>
      <c r="D78" s="2">
        <v>99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customHeight="1" x14ac:dyDescent="0.5">
      <c r="A79" s="2" t="s">
        <v>169</v>
      </c>
      <c r="B79" s="2" t="s">
        <v>76</v>
      </c>
      <c r="C79" s="2">
        <v>2</v>
      </c>
      <c r="D79" s="2">
        <v>41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customHeight="1" x14ac:dyDescent="0.5">
      <c r="A80" s="2" t="s">
        <v>170</v>
      </c>
      <c r="B80" s="2" t="s">
        <v>139</v>
      </c>
      <c r="C80" s="2">
        <v>9</v>
      </c>
      <c r="D80" s="2">
        <v>68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customHeight="1" x14ac:dyDescent="0.5">
      <c r="A81" s="2" t="s">
        <v>171</v>
      </c>
      <c r="B81" s="2" t="s">
        <v>78</v>
      </c>
      <c r="C81" s="2">
        <v>1</v>
      </c>
      <c r="D81" s="2">
        <v>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customHeight="1" x14ac:dyDescent="0.5">
      <c r="A82" s="2" t="s">
        <v>172</v>
      </c>
      <c r="B82" s="2" t="s">
        <v>141</v>
      </c>
      <c r="C82" s="2">
        <v>-33</v>
      </c>
      <c r="D82" s="2">
        <v>30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customHeight="1" x14ac:dyDescent="0.5">
      <c r="A83" s="2" t="s">
        <v>173</v>
      </c>
      <c r="B83" s="2" t="s">
        <v>80</v>
      </c>
      <c r="C83" s="2">
        <v>2</v>
      </c>
      <c r="D83" s="2">
        <v>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customHeight="1" x14ac:dyDescent="0.5">
      <c r="A84" s="2" t="s">
        <v>174</v>
      </c>
      <c r="B84" s="2" t="s">
        <v>82</v>
      </c>
      <c r="C84" s="2">
        <v>255</v>
      </c>
      <c r="D84" s="2">
        <v>601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customHeight="1" x14ac:dyDescent="0.5">
      <c r="A85" s="2" t="s">
        <v>175</v>
      </c>
      <c r="B85" s="2" t="s">
        <v>91</v>
      </c>
      <c r="C85" s="2">
        <v>165</v>
      </c>
      <c r="D85" s="2">
        <v>541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customHeight="1" x14ac:dyDescent="0.5">
      <c r="A86" s="2" t="s">
        <v>176</v>
      </c>
      <c r="B86" s="2" t="s">
        <v>84</v>
      </c>
      <c r="C86" s="22">
        <v>1417</v>
      </c>
      <c r="D86" s="22">
        <v>5607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customHeight="1" x14ac:dyDescent="0.5">
      <c r="A87" s="2" t="s">
        <v>177</v>
      </c>
      <c r="B87" s="2" t="s">
        <v>86</v>
      </c>
      <c r="C87" s="2">
        <v>9</v>
      </c>
      <c r="D87" s="2">
        <v>19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customHeight="1" x14ac:dyDescent="0.5">
      <c r="A88" s="2" t="s">
        <v>178</v>
      </c>
      <c r="B88" s="2" t="s">
        <v>62</v>
      </c>
      <c r="C88" s="2">
        <v>9</v>
      </c>
      <c r="D88" s="2">
        <v>19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customHeight="1" x14ac:dyDescent="0.5">
      <c r="A89" s="2" t="s">
        <v>179</v>
      </c>
      <c r="B89" s="2" t="s">
        <v>72</v>
      </c>
      <c r="C89" s="2">
        <v>30</v>
      </c>
      <c r="D89" s="2">
        <v>88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customHeight="1" x14ac:dyDescent="0.5">
      <c r="A90" s="2" t="s">
        <v>180</v>
      </c>
      <c r="B90" s="2" t="s">
        <v>88</v>
      </c>
      <c r="C90" s="2">
        <v>195</v>
      </c>
      <c r="D90" s="22">
        <v>1243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5">
      <c r="A91" s="2" t="s">
        <v>181</v>
      </c>
      <c r="B91" s="2" t="s">
        <v>148</v>
      </c>
      <c r="C91" s="2">
        <v>58</v>
      </c>
      <c r="D91" s="2">
        <v>126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customHeight="1" x14ac:dyDescent="0.5">
      <c r="A92" s="2" t="s">
        <v>182</v>
      </c>
      <c r="B92" s="2" t="s">
        <v>72</v>
      </c>
      <c r="C92" s="2">
        <v>30</v>
      </c>
      <c r="D92" s="2">
        <v>88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customHeight="1" x14ac:dyDescent="0.5">
      <c r="A93" s="2" t="s">
        <v>183</v>
      </c>
      <c r="B93" s="2" t="s">
        <v>91</v>
      </c>
      <c r="C93" s="2">
        <v>-1</v>
      </c>
      <c r="D93" s="2">
        <v>3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customHeight="1" x14ac:dyDescent="0.5">
      <c r="A94" s="2" t="s">
        <v>184</v>
      </c>
      <c r="B94" s="2" t="s">
        <v>68</v>
      </c>
      <c r="C94" s="2">
        <v>2</v>
      </c>
      <c r="D94" s="2">
        <v>16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customHeight="1" x14ac:dyDescent="0.5">
      <c r="A95" s="2" t="s">
        <v>185</v>
      </c>
      <c r="B95" s="2" t="s">
        <v>93</v>
      </c>
      <c r="C95" s="2">
        <v>35</v>
      </c>
      <c r="D95" s="2">
        <v>99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customHeight="1" x14ac:dyDescent="0.5">
      <c r="A96" s="2" t="s">
        <v>186</v>
      </c>
      <c r="B96" s="2" t="s">
        <v>95</v>
      </c>
      <c r="C96" s="2">
        <v>10</v>
      </c>
      <c r="D96" s="2">
        <v>679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customHeight="1" x14ac:dyDescent="0.5">
      <c r="A97" s="2" t="s">
        <v>187</v>
      </c>
      <c r="B97" s="2" t="s">
        <v>100</v>
      </c>
      <c r="C97" s="2">
        <v>17</v>
      </c>
      <c r="D97" s="2">
        <v>38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customHeight="1" x14ac:dyDescent="0.5">
      <c r="A98" s="2" t="s">
        <v>188</v>
      </c>
      <c r="B98" s="2" t="s">
        <v>117</v>
      </c>
      <c r="C98" s="2">
        <v>2</v>
      </c>
      <c r="D98" s="2">
        <v>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customHeight="1" x14ac:dyDescent="0.5">
      <c r="A99" s="2" t="s">
        <v>189</v>
      </c>
      <c r="B99" s="2" t="s">
        <v>97</v>
      </c>
      <c r="C99" s="2">
        <v>3</v>
      </c>
      <c r="D99" s="2">
        <v>6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customHeight="1" x14ac:dyDescent="0.5">
      <c r="A100" s="2" t="s">
        <v>190</v>
      </c>
      <c r="B100" s="2" t="s">
        <v>102</v>
      </c>
      <c r="C100" s="2">
        <v>28</v>
      </c>
      <c r="D100" s="2">
        <v>79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customHeight="1" x14ac:dyDescent="0.5">
      <c r="A101" s="2" t="s">
        <v>191</v>
      </c>
      <c r="B101" s="2" t="s">
        <v>106</v>
      </c>
      <c r="C101" s="2">
        <v>-55</v>
      </c>
      <c r="D101" s="2">
        <v>868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customHeight="1" x14ac:dyDescent="0.5">
      <c r="A102" s="2" t="s">
        <v>192</v>
      </c>
      <c r="B102" s="2" t="s">
        <v>74</v>
      </c>
      <c r="C102" s="2">
        <v>23</v>
      </c>
      <c r="D102" s="2">
        <v>74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customHeight="1" x14ac:dyDescent="0.5">
      <c r="A103" s="2" t="s">
        <v>193</v>
      </c>
      <c r="B103" s="2" t="s">
        <v>157</v>
      </c>
      <c r="C103" s="2">
        <v>4</v>
      </c>
      <c r="D103" s="2">
        <v>10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customHeight="1" x14ac:dyDescent="0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customHeight="1" x14ac:dyDescent="0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customHeight="1" x14ac:dyDescent="0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customHeight="1" x14ac:dyDescent="0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customHeight="1" x14ac:dyDescent="0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customHeight="1" x14ac:dyDescent="0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customHeight="1" x14ac:dyDescent="0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customHeight="1" x14ac:dyDescent="0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customHeight="1" x14ac:dyDescent="0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customHeight="1" x14ac:dyDescent="0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customHeight="1" x14ac:dyDescent="0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customHeight="1" x14ac:dyDescent="0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customHeight="1" x14ac:dyDescent="0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customHeight="1" x14ac:dyDescent="0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customHeight="1" x14ac:dyDescent="0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customHeight="1" x14ac:dyDescent="0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customHeight="1" x14ac:dyDescent="0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customHeight="1" x14ac:dyDescent="0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customHeight="1" x14ac:dyDescent="0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customHeight="1" x14ac:dyDescent="0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customHeight="1" x14ac:dyDescent="0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customHeight="1" x14ac:dyDescent="0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customHeight="1" x14ac:dyDescent="0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customHeight="1" x14ac:dyDescent="0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customHeight="1" x14ac:dyDescent="0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customHeight="1" x14ac:dyDescent="0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customHeight="1" x14ac:dyDescent="0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customHeight="1" x14ac:dyDescent="0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customHeight="1" x14ac:dyDescent="0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customHeight="1" x14ac:dyDescent="0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customHeight="1" x14ac:dyDescent="0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customHeight="1" x14ac:dyDescent="0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customHeight="1" x14ac:dyDescent="0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customHeight="1" x14ac:dyDescent="0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customHeight="1" x14ac:dyDescent="0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customHeight="1" x14ac:dyDescent="0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customHeight="1" x14ac:dyDescent="0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customHeight="1" x14ac:dyDescent="0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customHeight="1" x14ac:dyDescent="0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" customHeight="1" x14ac:dyDescent="0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" customHeight="1" x14ac:dyDescent="0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" customHeight="1" x14ac:dyDescent="0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" customHeight="1" x14ac:dyDescent="0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" customHeight="1" x14ac:dyDescent="0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" customHeight="1" x14ac:dyDescent="0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" customHeight="1" x14ac:dyDescent="0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" customHeight="1" x14ac:dyDescent="0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" customHeight="1" x14ac:dyDescent="0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" customHeight="1" x14ac:dyDescent="0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" customHeight="1" x14ac:dyDescent="0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" customHeight="1" x14ac:dyDescent="0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" customHeight="1" x14ac:dyDescent="0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" customHeight="1" x14ac:dyDescent="0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" customHeight="1" x14ac:dyDescent="0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" customHeight="1" x14ac:dyDescent="0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" customHeight="1" x14ac:dyDescent="0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" customHeight="1" x14ac:dyDescent="0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" customHeight="1" x14ac:dyDescent="0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" customHeight="1" x14ac:dyDescent="0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" customHeight="1" x14ac:dyDescent="0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" customHeight="1" x14ac:dyDescent="0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" customHeight="1" x14ac:dyDescent="0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" customHeight="1" x14ac:dyDescent="0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" customHeight="1" x14ac:dyDescent="0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" customHeight="1" x14ac:dyDescent="0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" customHeight="1" x14ac:dyDescent="0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" customHeight="1" x14ac:dyDescent="0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" customHeight="1" x14ac:dyDescent="0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" customHeight="1" x14ac:dyDescent="0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" customHeight="1" x14ac:dyDescent="0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" customHeight="1" x14ac:dyDescent="0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" customHeight="1" x14ac:dyDescent="0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" customHeight="1" x14ac:dyDescent="0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" customHeight="1" x14ac:dyDescent="0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" customHeight="1" x14ac:dyDescent="0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" customHeight="1" x14ac:dyDescent="0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" customHeight="1" x14ac:dyDescent="0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" customHeight="1" x14ac:dyDescent="0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" customHeight="1" x14ac:dyDescent="0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" customHeight="1" x14ac:dyDescent="0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" customHeight="1" x14ac:dyDescent="0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" customHeight="1" x14ac:dyDescent="0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" customHeight="1" x14ac:dyDescent="0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" customHeight="1" x14ac:dyDescent="0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" customHeight="1" x14ac:dyDescent="0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" customHeight="1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" customHeight="1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" customHeight="1" x14ac:dyDescent="0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" customHeight="1" x14ac:dyDescent="0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" customHeight="1" x14ac:dyDescent="0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" customHeight="1" x14ac:dyDescent="0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" customHeight="1" x14ac:dyDescent="0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" customHeight="1" x14ac:dyDescent="0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" customHeight="1" x14ac:dyDescent="0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" customHeight="1" x14ac:dyDescent="0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" customHeight="1" x14ac:dyDescent="0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" customHeight="1" x14ac:dyDescent="0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" customHeight="1" x14ac:dyDescent="0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" customHeight="1" x14ac:dyDescent="0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" customHeight="1" x14ac:dyDescent="0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" customHeight="1" x14ac:dyDescent="0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" customHeight="1" x14ac:dyDescent="0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" customHeight="1" x14ac:dyDescent="0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" customHeight="1" x14ac:dyDescent="0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" customHeight="1" x14ac:dyDescent="0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" customHeight="1" x14ac:dyDescent="0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" customHeight="1" x14ac:dyDescent="0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" customHeight="1" x14ac:dyDescent="0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" customHeight="1" x14ac:dyDescent="0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" customHeight="1" x14ac:dyDescent="0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" customHeight="1" x14ac:dyDescent="0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" customHeight="1" x14ac:dyDescent="0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" customHeight="1" x14ac:dyDescent="0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" customHeight="1" x14ac:dyDescent="0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" customHeight="1" x14ac:dyDescent="0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" customHeight="1" x14ac:dyDescent="0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" customHeight="1" x14ac:dyDescent="0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" customHeight="1" x14ac:dyDescent="0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" customHeight="1" x14ac:dyDescent="0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" customHeight="1" x14ac:dyDescent="0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" customHeight="1" x14ac:dyDescent="0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" customHeight="1" x14ac:dyDescent="0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" customHeight="1" x14ac:dyDescent="0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" customHeight="1" x14ac:dyDescent="0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" customHeight="1" x14ac:dyDescent="0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" customHeight="1" x14ac:dyDescent="0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" customHeight="1" x14ac:dyDescent="0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" customHeight="1" x14ac:dyDescent="0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" customHeight="1" x14ac:dyDescent="0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" customHeight="1" x14ac:dyDescent="0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" customHeight="1" x14ac:dyDescent="0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" customHeight="1" x14ac:dyDescent="0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" customHeight="1" x14ac:dyDescent="0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" customHeight="1" x14ac:dyDescent="0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" customHeight="1" x14ac:dyDescent="0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" customHeight="1" x14ac:dyDescent="0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" customHeight="1" x14ac:dyDescent="0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" customHeight="1" x14ac:dyDescent="0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" customHeight="1" x14ac:dyDescent="0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" customHeight="1" x14ac:dyDescent="0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" customHeight="1" x14ac:dyDescent="0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" customHeight="1" x14ac:dyDescent="0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" customHeight="1" x14ac:dyDescent="0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" customHeight="1" x14ac:dyDescent="0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" customHeight="1" x14ac:dyDescent="0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" customHeight="1" x14ac:dyDescent="0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" customHeight="1" x14ac:dyDescent="0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" customHeight="1" x14ac:dyDescent="0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" customHeight="1" x14ac:dyDescent="0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" customHeight="1" x14ac:dyDescent="0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" customHeight="1" x14ac:dyDescent="0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" customHeight="1" x14ac:dyDescent="0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" customHeight="1" x14ac:dyDescent="0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" customHeight="1" x14ac:dyDescent="0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" customHeight="1" x14ac:dyDescent="0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" customHeight="1" x14ac:dyDescent="0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" customHeight="1" x14ac:dyDescent="0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" customHeight="1" x14ac:dyDescent="0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" customHeight="1" x14ac:dyDescent="0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" customHeight="1" x14ac:dyDescent="0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" customHeight="1" x14ac:dyDescent="0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" customHeight="1" x14ac:dyDescent="0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" customHeight="1" x14ac:dyDescent="0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" customHeight="1" x14ac:dyDescent="0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" customHeight="1" x14ac:dyDescent="0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" customHeight="1" x14ac:dyDescent="0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" customHeight="1" x14ac:dyDescent="0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" customHeight="1" x14ac:dyDescent="0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" customHeight="1" x14ac:dyDescent="0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" customHeight="1" x14ac:dyDescent="0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" customHeight="1" x14ac:dyDescent="0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" customHeight="1" x14ac:dyDescent="0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" customHeight="1" x14ac:dyDescent="0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" customHeight="1" x14ac:dyDescent="0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" customHeight="1" x14ac:dyDescent="0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" customHeight="1" x14ac:dyDescent="0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" customHeight="1" x14ac:dyDescent="0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" customHeight="1" x14ac:dyDescent="0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" customHeight="1" x14ac:dyDescent="0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" customHeight="1" x14ac:dyDescent="0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" customHeight="1" x14ac:dyDescent="0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" customHeight="1" x14ac:dyDescent="0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" customHeight="1" x14ac:dyDescent="0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" customHeight="1" x14ac:dyDescent="0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" customHeight="1" x14ac:dyDescent="0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" customHeight="1" x14ac:dyDescent="0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" customHeight="1" x14ac:dyDescent="0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" customHeight="1" x14ac:dyDescent="0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" customHeight="1" x14ac:dyDescent="0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" customHeight="1" x14ac:dyDescent="0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" customHeight="1" x14ac:dyDescent="0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" customHeight="1" x14ac:dyDescent="0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" customHeight="1" x14ac:dyDescent="0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" customHeight="1" x14ac:dyDescent="0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" customHeight="1" x14ac:dyDescent="0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" customHeight="1" x14ac:dyDescent="0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" customHeight="1" x14ac:dyDescent="0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" customHeight="1" x14ac:dyDescent="0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" customHeight="1" x14ac:dyDescent="0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" customHeight="1" x14ac:dyDescent="0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" customHeight="1" x14ac:dyDescent="0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" customHeight="1" x14ac:dyDescent="0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" customHeight="1" x14ac:dyDescent="0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" customHeight="1" x14ac:dyDescent="0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" customHeight="1" x14ac:dyDescent="0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" customHeight="1" x14ac:dyDescent="0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" customHeight="1" x14ac:dyDescent="0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" customHeight="1" x14ac:dyDescent="0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" customHeight="1" x14ac:dyDescent="0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" customHeight="1" x14ac:dyDescent="0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" customHeight="1" x14ac:dyDescent="0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" customHeight="1" x14ac:dyDescent="0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" customHeight="1" x14ac:dyDescent="0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" customHeight="1" x14ac:dyDescent="0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" customHeight="1" x14ac:dyDescent="0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" customHeight="1" x14ac:dyDescent="0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" customHeight="1" x14ac:dyDescent="0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" customHeight="1" x14ac:dyDescent="0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" customHeight="1" x14ac:dyDescent="0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" customHeight="1" x14ac:dyDescent="0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" customHeight="1" x14ac:dyDescent="0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" customHeight="1" x14ac:dyDescent="0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" customHeight="1" x14ac:dyDescent="0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" customHeight="1" x14ac:dyDescent="0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" customHeight="1" x14ac:dyDescent="0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" customHeight="1" x14ac:dyDescent="0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" customHeight="1" x14ac:dyDescent="0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" customHeight="1" x14ac:dyDescent="0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" customHeight="1" x14ac:dyDescent="0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" customHeight="1" x14ac:dyDescent="0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" customHeight="1" x14ac:dyDescent="0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" customHeight="1" x14ac:dyDescent="0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" customHeight="1" x14ac:dyDescent="0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" customHeight="1" x14ac:dyDescent="0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" customHeight="1" x14ac:dyDescent="0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" customHeight="1" x14ac:dyDescent="0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" customHeight="1" x14ac:dyDescent="0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" customHeight="1" x14ac:dyDescent="0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" customHeight="1" x14ac:dyDescent="0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" customHeight="1" x14ac:dyDescent="0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" customHeight="1" x14ac:dyDescent="0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" customHeight="1" x14ac:dyDescent="0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" customHeight="1" x14ac:dyDescent="0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" customHeight="1" x14ac:dyDescent="0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" customHeight="1" x14ac:dyDescent="0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" customHeight="1" x14ac:dyDescent="0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" customHeight="1" x14ac:dyDescent="0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" customHeight="1" x14ac:dyDescent="0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" customHeight="1" x14ac:dyDescent="0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" customHeight="1" x14ac:dyDescent="0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" customHeight="1" x14ac:dyDescent="0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" customHeight="1" x14ac:dyDescent="0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" customHeight="1" x14ac:dyDescent="0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" customHeight="1" x14ac:dyDescent="0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" customHeight="1" x14ac:dyDescent="0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" customHeight="1" x14ac:dyDescent="0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" customHeight="1" x14ac:dyDescent="0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" customHeight="1" x14ac:dyDescent="0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" customHeight="1" x14ac:dyDescent="0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" customHeight="1" x14ac:dyDescent="0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" customHeight="1" x14ac:dyDescent="0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" customHeight="1" x14ac:dyDescent="0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" customHeight="1" x14ac:dyDescent="0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" customHeight="1" x14ac:dyDescent="0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" customHeight="1" x14ac:dyDescent="0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" customHeight="1" x14ac:dyDescent="0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" customHeight="1" x14ac:dyDescent="0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" customHeight="1" x14ac:dyDescent="0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" customHeight="1" x14ac:dyDescent="0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" customHeight="1" x14ac:dyDescent="0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" customHeight="1" x14ac:dyDescent="0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" customHeight="1" x14ac:dyDescent="0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" customHeight="1" x14ac:dyDescent="0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" customHeight="1" x14ac:dyDescent="0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" customHeight="1" x14ac:dyDescent="0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" customHeight="1" x14ac:dyDescent="0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" customHeight="1" x14ac:dyDescent="0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" customHeight="1" x14ac:dyDescent="0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" customHeight="1" x14ac:dyDescent="0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" customHeight="1" x14ac:dyDescent="0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" customHeight="1" x14ac:dyDescent="0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" customHeight="1" x14ac:dyDescent="0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" customHeight="1" x14ac:dyDescent="0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" customHeight="1" x14ac:dyDescent="0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" customHeight="1" x14ac:dyDescent="0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" customHeight="1" x14ac:dyDescent="0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" customHeight="1" x14ac:dyDescent="0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" customHeight="1" x14ac:dyDescent="0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" customHeight="1" x14ac:dyDescent="0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" customHeight="1" x14ac:dyDescent="0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" customHeight="1" x14ac:dyDescent="0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" customHeight="1" x14ac:dyDescent="0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" customHeight="1" x14ac:dyDescent="0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" customHeight="1" x14ac:dyDescent="0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" customHeight="1" x14ac:dyDescent="0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" customHeight="1" x14ac:dyDescent="0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" customHeight="1" x14ac:dyDescent="0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" customHeight="1" x14ac:dyDescent="0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" customHeight="1" x14ac:dyDescent="0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" customHeight="1" x14ac:dyDescent="0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" customHeight="1" x14ac:dyDescent="0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" customHeight="1" x14ac:dyDescent="0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" customHeight="1" x14ac:dyDescent="0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" customHeight="1" x14ac:dyDescent="0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" customHeight="1" x14ac:dyDescent="0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" customHeight="1" x14ac:dyDescent="0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" customHeight="1" x14ac:dyDescent="0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" customHeight="1" x14ac:dyDescent="0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" customHeight="1" x14ac:dyDescent="0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" customHeight="1" x14ac:dyDescent="0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" customHeight="1" x14ac:dyDescent="0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" customHeight="1" x14ac:dyDescent="0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" customHeight="1" x14ac:dyDescent="0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" customHeight="1" x14ac:dyDescent="0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" customHeight="1" x14ac:dyDescent="0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" customHeight="1" x14ac:dyDescent="0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" customHeight="1" x14ac:dyDescent="0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" customHeight="1" x14ac:dyDescent="0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" customHeight="1" x14ac:dyDescent="0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" customHeight="1" x14ac:dyDescent="0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" customHeight="1" x14ac:dyDescent="0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" customHeight="1" x14ac:dyDescent="0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" customHeight="1" x14ac:dyDescent="0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" customHeight="1" x14ac:dyDescent="0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" customHeight="1" x14ac:dyDescent="0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" customHeight="1" x14ac:dyDescent="0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" customHeight="1" x14ac:dyDescent="0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" customHeight="1" x14ac:dyDescent="0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" customHeight="1" x14ac:dyDescent="0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" customHeight="1" x14ac:dyDescent="0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" customHeight="1" x14ac:dyDescent="0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" customHeight="1" x14ac:dyDescent="0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" customHeight="1" x14ac:dyDescent="0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" customHeight="1" x14ac:dyDescent="0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" customHeight="1" x14ac:dyDescent="0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" customHeight="1" x14ac:dyDescent="0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" customHeight="1" x14ac:dyDescent="0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" customHeight="1" x14ac:dyDescent="0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" customHeight="1" x14ac:dyDescent="0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" customHeight="1" x14ac:dyDescent="0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" customHeight="1" x14ac:dyDescent="0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" customHeight="1" x14ac:dyDescent="0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" customHeight="1" x14ac:dyDescent="0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" customHeight="1" x14ac:dyDescent="0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" customHeight="1" x14ac:dyDescent="0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" customHeight="1" x14ac:dyDescent="0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" customHeight="1" x14ac:dyDescent="0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" customHeight="1" x14ac:dyDescent="0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" customHeight="1" x14ac:dyDescent="0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" customHeight="1" x14ac:dyDescent="0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" customHeight="1" x14ac:dyDescent="0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" customHeight="1" x14ac:dyDescent="0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" customHeight="1" x14ac:dyDescent="0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" customHeight="1" x14ac:dyDescent="0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" customHeight="1" x14ac:dyDescent="0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" customHeight="1" x14ac:dyDescent="0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" customHeight="1" x14ac:dyDescent="0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" customHeight="1" x14ac:dyDescent="0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" customHeight="1" x14ac:dyDescent="0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" customHeight="1" x14ac:dyDescent="0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" customHeight="1" x14ac:dyDescent="0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" customHeight="1" x14ac:dyDescent="0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" customHeight="1" x14ac:dyDescent="0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" customHeight="1" x14ac:dyDescent="0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" customHeight="1" x14ac:dyDescent="0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" customHeight="1" x14ac:dyDescent="0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" customHeight="1" x14ac:dyDescent="0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" customHeight="1" x14ac:dyDescent="0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" customHeight="1" x14ac:dyDescent="0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" customHeight="1" x14ac:dyDescent="0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" customHeight="1" x14ac:dyDescent="0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" customHeight="1" x14ac:dyDescent="0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" customHeight="1" x14ac:dyDescent="0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" customHeight="1" x14ac:dyDescent="0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" customHeight="1" x14ac:dyDescent="0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" customHeight="1" x14ac:dyDescent="0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" customHeight="1" x14ac:dyDescent="0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" customHeight="1" x14ac:dyDescent="0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" customHeight="1" x14ac:dyDescent="0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" customHeight="1" x14ac:dyDescent="0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" customHeight="1" x14ac:dyDescent="0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" customHeight="1" x14ac:dyDescent="0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" customHeight="1" x14ac:dyDescent="0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" customHeight="1" x14ac:dyDescent="0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" customHeight="1" x14ac:dyDescent="0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" customHeight="1" x14ac:dyDescent="0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" customHeight="1" x14ac:dyDescent="0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" customHeight="1" x14ac:dyDescent="0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" customHeight="1" x14ac:dyDescent="0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" customHeight="1" x14ac:dyDescent="0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" customHeight="1" x14ac:dyDescent="0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" customHeight="1" x14ac:dyDescent="0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" customHeight="1" x14ac:dyDescent="0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" customHeight="1" x14ac:dyDescent="0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" customHeight="1" x14ac:dyDescent="0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" customHeight="1" x14ac:dyDescent="0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" customHeight="1" x14ac:dyDescent="0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" customHeight="1" x14ac:dyDescent="0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" customHeight="1" x14ac:dyDescent="0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" customHeight="1" x14ac:dyDescent="0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" customHeight="1" x14ac:dyDescent="0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" customHeight="1" x14ac:dyDescent="0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" customHeight="1" x14ac:dyDescent="0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" customHeight="1" x14ac:dyDescent="0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" customHeight="1" x14ac:dyDescent="0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" customHeight="1" x14ac:dyDescent="0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" customHeight="1" x14ac:dyDescent="0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" customHeight="1" x14ac:dyDescent="0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" customHeight="1" x14ac:dyDescent="0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" customHeight="1" x14ac:dyDescent="0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" customHeight="1" x14ac:dyDescent="0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" customHeight="1" x14ac:dyDescent="0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" customHeight="1" x14ac:dyDescent="0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" customHeight="1" x14ac:dyDescent="0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" customHeight="1" x14ac:dyDescent="0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" customHeight="1" x14ac:dyDescent="0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" customHeight="1" x14ac:dyDescent="0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" customHeight="1" x14ac:dyDescent="0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" customHeight="1" x14ac:dyDescent="0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" customHeight="1" x14ac:dyDescent="0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" customHeight="1" x14ac:dyDescent="0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" customHeight="1" x14ac:dyDescent="0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" customHeight="1" x14ac:dyDescent="0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" customHeight="1" x14ac:dyDescent="0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" customHeight="1" x14ac:dyDescent="0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" customHeight="1" x14ac:dyDescent="0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" customHeight="1" x14ac:dyDescent="0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" customHeight="1" x14ac:dyDescent="0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" customHeight="1" x14ac:dyDescent="0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" customHeight="1" x14ac:dyDescent="0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" customHeight="1" x14ac:dyDescent="0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" customHeight="1" x14ac:dyDescent="0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" customHeight="1" x14ac:dyDescent="0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" customHeight="1" x14ac:dyDescent="0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" customHeight="1" x14ac:dyDescent="0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" customHeight="1" x14ac:dyDescent="0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" customHeight="1" x14ac:dyDescent="0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" customHeight="1" x14ac:dyDescent="0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" customHeight="1" x14ac:dyDescent="0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" customHeight="1" x14ac:dyDescent="0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" customHeight="1" x14ac:dyDescent="0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" customHeight="1" x14ac:dyDescent="0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" customHeight="1" x14ac:dyDescent="0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" customHeight="1" x14ac:dyDescent="0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" customHeight="1" x14ac:dyDescent="0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" customHeight="1" x14ac:dyDescent="0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" customHeight="1" x14ac:dyDescent="0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" customHeight="1" x14ac:dyDescent="0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" customHeight="1" x14ac:dyDescent="0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" customHeight="1" x14ac:dyDescent="0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" customHeight="1" x14ac:dyDescent="0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" customHeight="1" x14ac:dyDescent="0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" customHeight="1" x14ac:dyDescent="0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" customHeight="1" x14ac:dyDescent="0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" customHeight="1" x14ac:dyDescent="0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" customHeight="1" x14ac:dyDescent="0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" customHeight="1" x14ac:dyDescent="0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" customHeight="1" x14ac:dyDescent="0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" customHeight="1" x14ac:dyDescent="0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" customHeight="1" x14ac:dyDescent="0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" customHeight="1" x14ac:dyDescent="0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" customHeight="1" x14ac:dyDescent="0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" customHeight="1" x14ac:dyDescent="0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" customHeight="1" x14ac:dyDescent="0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" customHeight="1" x14ac:dyDescent="0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" customHeight="1" x14ac:dyDescent="0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" customHeight="1" x14ac:dyDescent="0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" customHeight="1" x14ac:dyDescent="0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" customHeight="1" x14ac:dyDescent="0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" customHeight="1" x14ac:dyDescent="0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" customHeight="1" x14ac:dyDescent="0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" customHeight="1" x14ac:dyDescent="0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" customHeight="1" x14ac:dyDescent="0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" customHeight="1" x14ac:dyDescent="0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" customHeight="1" x14ac:dyDescent="0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" customHeight="1" x14ac:dyDescent="0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" customHeight="1" x14ac:dyDescent="0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" customHeight="1" x14ac:dyDescent="0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" customHeight="1" x14ac:dyDescent="0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" customHeight="1" x14ac:dyDescent="0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" customHeight="1" x14ac:dyDescent="0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" customHeight="1" x14ac:dyDescent="0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" customHeight="1" x14ac:dyDescent="0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" customHeight="1" x14ac:dyDescent="0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" customHeight="1" x14ac:dyDescent="0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" customHeight="1" x14ac:dyDescent="0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" customHeight="1" x14ac:dyDescent="0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" customHeight="1" x14ac:dyDescent="0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" customHeight="1" x14ac:dyDescent="0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" customHeight="1" x14ac:dyDescent="0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" customHeight="1" x14ac:dyDescent="0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" customHeight="1" x14ac:dyDescent="0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" customHeight="1" x14ac:dyDescent="0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" customHeight="1" x14ac:dyDescent="0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" customHeight="1" x14ac:dyDescent="0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" customHeight="1" x14ac:dyDescent="0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" customHeight="1" x14ac:dyDescent="0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" customHeight="1" x14ac:dyDescent="0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" customHeight="1" x14ac:dyDescent="0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" customHeight="1" x14ac:dyDescent="0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" customHeight="1" x14ac:dyDescent="0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" customHeight="1" x14ac:dyDescent="0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" customHeight="1" x14ac:dyDescent="0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" customHeight="1" x14ac:dyDescent="0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" customHeight="1" x14ac:dyDescent="0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" customHeight="1" x14ac:dyDescent="0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" customHeight="1" x14ac:dyDescent="0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" customHeight="1" x14ac:dyDescent="0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" customHeight="1" x14ac:dyDescent="0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" customHeight="1" x14ac:dyDescent="0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" customHeight="1" x14ac:dyDescent="0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" customHeight="1" x14ac:dyDescent="0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" customHeight="1" x14ac:dyDescent="0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" customHeight="1" x14ac:dyDescent="0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" customHeight="1" x14ac:dyDescent="0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" customHeight="1" x14ac:dyDescent="0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" customHeight="1" x14ac:dyDescent="0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" customHeight="1" x14ac:dyDescent="0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" customHeight="1" x14ac:dyDescent="0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" customHeight="1" x14ac:dyDescent="0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" customHeight="1" x14ac:dyDescent="0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" customHeight="1" x14ac:dyDescent="0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" customHeight="1" x14ac:dyDescent="0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" customHeight="1" x14ac:dyDescent="0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" customHeight="1" x14ac:dyDescent="0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" customHeight="1" x14ac:dyDescent="0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" customHeight="1" x14ac:dyDescent="0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" customHeight="1" x14ac:dyDescent="0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" customHeight="1" x14ac:dyDescent="0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" customHeight="1" x14ac:dyDescent="0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" customHeight="1" x14ac:dyDescent="0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" customHeight="1" x14ac:dyDescent="0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" customHeight="1" x14ac:dyDescent="0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" customHeight="1" x14ac:dyDescent="0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" customHeight="1" x14ac:dyDescent="0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" customHeight="1" x14ac:dyDescent="0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" customHeight="1" x14ac:dyDescent="0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" customHeight="1" x14ac:dyDescent="0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" customHeight="1" x14ac:dyDescent="0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" customHeight="1" x14ac:dyDescent="0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" customHeight="1" x14ac:dyDescent="0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" customHeight="1" x14ac:dyDescent="0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" customHeight="1" x14ac:dyDescent="0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" customHeight="1" x14ac:dyDescent="0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" customHeight="1" x14ac:dyDescent="0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" customHeight="1" x14ac:dyDescent="0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" customHeight="1" x14ac:dyDescent="0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" customHeight="1" x14ac:dyDescent="0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" customHeight="1" x14ac:dyDescent="0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" customHeight="1" x14ac:dyDescent="0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" customHeight="1" x14ac:dyDescent="0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" customHeight="1" x14ac:dyDescent="0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" customHeight="1" x14ac:dyDescent="0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" customHeight="1" x14ac:dyDescent="0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" customHeight="1" x14ac:dyDescent="0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" customHeight="1" x14ac:dyDescent="0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" customHeight="1" x14ac:dyDescent="0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" customHeight="1" x14ac:dyDescent="0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" customHeight="1" x14ac:dyDescent="0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" customHeight="1" x14ac:dyDescent="0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" customHeight="1" x14ac:dyDescent="0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" customHeight="1" x14ac:dyDescent="0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" customHeight="1" x14ac:dyDescent="0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" customHeight="1" x14ac:dyDescent="0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" customHeight="1" x14ac:dyDescent="0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" customHeight="1" x14ac:dyDescent="0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" customHeight="1" x14ac:dyDescent="0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" customHeight="1" x14ac:dyDescent="0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" customHeight="1" x14ac:dyDescent="0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" customHeight="1" x14ac:dyDescent="0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" customHeight="1" x14ac:dyDescent="0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" customHeight="1" x14ac:dyDescent="0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" customHeight="1" x14ac:dyDescent="0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" customHeight="1" x14ac:dyDescent="0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" customHeight="1" x14ac:dyDescent="0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" customHeight="1" x14ac:dyDescent="0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" customHeight="1" x14ac:dyDescent="0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" customHeight="1" x14ac:dyDescent="0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" customHeight="1" x14ac:dyDescent="0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" customHeight="1" x14ac:dyDescent="0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" customHeight="1" x14ac:dyDescent="0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" customHeight="1" x14ac:dyDescent="0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" customHeight="1" x14ac:dyDescent="0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" customHeight="1" x14ac:dyDescent="0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" customHeight="1" x14ac:dyDescent="0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" customHeight="1" x14ac:dyDescent="0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" customHeight="1" x14ac:dyDescent="0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" customHeight="1" x14ac:dyDescent="0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" customHeight="1" x14ac:dyDescent="0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" customHeight="1" x14ac:dyDescent="0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" customHeight="1" x14ac:dyDescent="0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" customHeight="1" x14ac:dyDescent="0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" customHeight="1" x14ac:dyDescent="0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" customHeight="1" x14ac:dyDescent="0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" customHeight="1" x14ac:dyDescent="0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" customHeight="1" x14ac:dyDescent="0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" customHeight="1" x14ac:dyDescent="0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" customHeight="1" x14ac:dyDescent="0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" customHeight="1" x14ac:dyDescent="0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" customHeight="1" x14ac:dyDescent="0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" customHeight="1" x14ac:dyDescent="0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" customHeight="1" x14ac:dyDescent="0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" customHeight="1" x14ac:dyDescent="0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" customHeight="1" x14ac:dyDescent="0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" customHeight="1" x14ac:dyDescent="0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" customHeight="1" x14ac:dyDescent="0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" customHeight="1" x14ac:dyDescent="0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" customHeight="1" x14ac:dyDescent="0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" customHeight="1" x14ac:dyDescent="0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" customHeight="1" x14ac:dyDescent="0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" customHeight="1" x14ac:dyDescent="0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" customHeight="1" x14ac:dyDescent="0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" customHeight="1" x14ac:dyDescent="0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" customHeight="1" x14ac:dyDescent="0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" customHeight="1" x14ac:dyDescent="0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" customHeight="1" x14ac:dyDescent="0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" customHeight="1" x14ac:dyDescent="0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" customHeight="1" x14ac:dyDescent="0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" customHeight="1" x14ac:dyDescent="0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" customHeight="1" x14ac:dyDescent="0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" customHeight="1" x14ac:dyDescent="0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" customHeight="1" x14ac:dyDescent="0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" customHeight="1" x14ac:dyDescent="0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" customHeight="1" x14ac:dyDescent="0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" customHeight="1" x14ac:dyDescent="0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" customHeight="1" x14ac:dyDescent="0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" customHeight="1" x14ac:dyDescent="0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" customHeight="1" x14ac:dyDescent="0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" customHeight="1" x14ac:dyDescent="0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" customHeight="1" x14ac:dyDescent="0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" customHeight="1" x14ac:dyDescent="0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" customHeight="1" x14ac:dyDescent="0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" customHeight="1" x14ac:dyDescent="0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" customHeight="1" x14ac:dyDescent="0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" customHeight="1" x14ac:dyDescent="0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" customHeight="1" x14ac:dyDescent="0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" customHeight="1" x14ac:dyDescent="0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" customHeight="1" x14ac:dyDescent="0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" customHeight="1" x14ac:dyDescent="0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" customHeight="1" x14ac:dyDescent="0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" customHeight="1" x14ac:dyDescent="0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" customHeight="1" x14ac:dyDescent="0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" customHeight="1" x14ac:dyDescent="0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" customHeight="1" x14ac:dyDescent="0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" customHeight="1" x14ac:dyDescent="0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" customHeight="1" x14ac:dyDescent="0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" customHeight="1" x14ac:dyDescent="0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" customHeight="1" x14ac:dyDescent="0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" customHeight="1" x14ac:dyDescent="0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" customHeight="1" x14ac:dyDescent="0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" customHeight="1" x14ac:dyDescent="0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" customHeight="1" x14ac:dyDescent="0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" customHeight="1" x14ac:dyDescent="0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" customHeight="1" x14ac:dyDescent="0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" customHeight="1" x14ac:dyDescent="0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" customHeight="1" x14ac:dyDescent="0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" customHeight="1" x14ac:dyDescent="0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" customHeight="1" x14ac:dyDescent="0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" customHeight="1" x14ac:dyDescent="0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" customHeight="1" x14ac:dyDescent="0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" customHeight="1" x14ac:dyDescent="0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" customHeight="1" x14ac:dyDescent="0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" customHeight="1" x14ac:dyDescent="0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" customHeight="1" x14ac:dyDescent="0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" customHeight="1" x14ac:dyDescent="0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" customHeight="1" x14ac:dyDescent="0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" customHeight="1" x14ac:dyDescent="0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" customHeight="1" x14ac:dyDescent="0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" customHeight="1" x14ac:dyDescent="0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" customHeight="1" x14ac:dyDescent="0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" customHeight="1" x14ac:dyDescent="0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" customHeight="1" x14ac:dyDescent="0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" customHeight="1" x14ac:dyDescent="0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" customHeight="1" x14ac:dyDescent="0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" customHeight="1" x14ac:dyDescent="0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" customHeight="1" x14ac:dyDescent="0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" customHeight="1" x14ac:dyDescent="0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" customHeight="1" x14ac:dyDescent="0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" customHeight="1" x14ac:dyDescent="0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" customHeight="1" x14ac:dyDescent="0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" customHeight="1" x14ac:dyDescent="0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" customHeight="1" x14ac:dyDescent="0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" customHeight="1" x14ac:dyDescent="0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" customHeight="1" x14ac:dyDescent="0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" customHeight="1" x14ac:dyDescent="0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" customHeight="1" x14ac:dyDescent="0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" customHeight="1" x14ac:dyDescent="0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" customHeight="1" x14ac:dyDescent="0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" customHeight="1" x14ac:dyDescent="0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" customHeight="1" x14ac:dyDescent="0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" customHeight="1" x14ac:dyDescent="0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" customHeight="1" x14ac:dyDescent="0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" customHeight="1" x14ac:dyDescent="0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" customHeight="1" x14ac:dyDescent="0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" customHeight="1" x14ac:dyDescent="0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" customHeight="1" x14ac:dyDescent="0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" customHeight="1" x14ac:dyDescent="0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" customHeight="1" x14ac:dyDescent="0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" customHeight="1" x14ac:dyDescent="0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" customHeight="1" x14ac:dyDescent="0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" customHeight="1" x14ac:dyDescent="0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" customHeight="1" x14ac:dyDescent="0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" customHeight="1" x14ac:dyDescent="0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" customHeight="1" x14ac:dyDescent="0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" customHeight="1" x14ac:dyDescent="0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" customHeight="1" x14ac:dyDescent="0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" customHeight="1" x14ac:dyDescent="0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" customHeight="1" x14ac:dyDescent="0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" customHeight="1" x14ac:dyDescent="0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" customHeight="1" x14ac:dyDescent="0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" customHeight="1" x14ac:dyDescent="0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" customHeight="1" x14ac:dyDescent="0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" customHeight="1" x14ac:dyDescent="0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" customHeight="1" x14ac:dyDescent="0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" customHeight="1" x14ac:dyDescent="0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" customHeight="1" x14ac:dyDescent="0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" customHeight="1" x14ac:dyDescent="0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" customHeight="1" x14ac:dyDescent="0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" customHeight="1" x14ac:dyDescent="0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" customHeight="1" x14ac:dyDescent="0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" customHeight="1" x14ac:dyDescent="0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" customHeight="1" x14ac:dyDescent="0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" customHeight="1" x14ac:dyDescent="0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" customHeight="1" x14ac:dyDescent="0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" customHeight="1" x14ac:dyDescent="0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" customHeight="1" x14ac:dyDescent="0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" customHeight="1" x14ac:dyDescent="0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" customHeight="1" x14ac:dyDescent="0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" customHeight="1" x14ac:dyDescent="0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" customHeight="1" x14ac:dyDescent="0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" customHeight="1" x14ac:dyDescent="0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" customHeight="1" x14ac:dyDescent="0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" customHeight="1" x14ac:dyDescent="0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" customHeight="1" x14ac:dyDescent="0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" customHeight="1" x14ac:dyDescent="0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" customHeight="1" x14ac:dyDescent="0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" customHeight="1" x14ac:dyDescent="0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" customHeight="1" x14ac:dyDescent="0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" customHeight="1" x14ac:dyDescent="0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" customHeight="1" x14ac:dyDescent="0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" customHeight="1" x14ac:dyDescent="0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" customHeight="1" x14ac:dyDescent="0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" customHeight="1" x14ac:dyDescent="0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" customHeight="1" x14ac:dyDescent="0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" customHeight="1" x14ac:dyDescent="0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" customHeight="1" x14ac:dyDescent="0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" customHeight="1" x14ac:dyDescent="0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" customHeight="1" x14ac:dyDescent="0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" customHeight="1" x14ac:dyDescent="0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" customHeight="1" x14ac:dyDescent="0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" customHeight="1" x14ac:dyDescent="0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" customHeight="1" x14ac:dyDescent="0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" customHeight="1" x14ac:dyDescent="0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" customHeight="1" x14ac:dyDescent="0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" customHeight="1" x14ac:dyDescent="0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" customHeight="1" x14ac:dyDescent="0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" customHeight="1" x14ac:dyDescent="0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" customHeight="1" x14ac:dyDescent="0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" customHeight="1" x14ac:dyDescent="0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" customHeight="1" x14ac:dyDescent="0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" customHeight="1" x14ac:dyDescent="0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" customHeight="1" x14ac:dyDescent="0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" customHeight="1" x14ac:dyDescent="0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" customHeight="1" x14ac:dyDescent="0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" customHeight="1" x14ac:dyDescent="0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" customHeight="1" x14ac:dyDescent="0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" customHeight="1" x14ac:dyDescent="0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" customHeight="1" x14ac:dyDescent="0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" customHeight="1" x14ac:dyDescent="0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" customHeight="1" x14ac:dyDescent="0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" customHeight="1" x14ac:dyDescent="0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" customHeight="1" x14ac:dyDescent="0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" customHeight="1" x14ac:dyDescent="0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" customHeight="1" x14ac:dyDescent="0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" customHeight="1" x14ac:dyDescent="0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" customHeight="1" x14ac:dyDescent="0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" customHeight="1" x14ac:dyDescent="0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" customHeight="1" x14ac:dyDescent="0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1" customHeight="1" x14ac:dyDescent="0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1" customHeight="1" x14ac:dyDescent="0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1" customHeight="1" x14ac:dyDescent="0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E9"/>
  <sheetViews>
    <sheetView zoomScale="108" zoomScaleNormal="108" workbookViewId="0">
      <selection activeCell="D11" sqref="D11"/>
    </sheetView>
  </sheetViews>
  <sheetFormatPr defaultRowHeight="14.5" x14ac:dyDescent="0.35"/>
  <cols>
    <col min="3" max="3" width="22.453125" bestFit="1" customWidth="1"/>
    <col min="4" max="4" width="21.26953125" bestFit="1" customWidth="1"/>
    <col min="5" max="5" width="8" bestFit="1" customWidth="1"/>
  </cols>
  <sheetData>
    <row r="1" spans="3:5" ht="15" thickBot="1" x14ac:dyDescent="0.4"/>
    <row r="2" spans="3:5" ht="21" x14ac:dyDescent="0.5">
      <c r="C2" s="23" t="s">
        <v>56</v>
      </c>
      <c r="D2" s="24" t="s">
        <v>57</v>
      </c>
      <c r="E2" s="25" t="s">
        <v>6</v>
      </c>
    </row>
    <row r="3" spans="3:5" ht="21" x14ac:dyDescent="0.5">
      <c r="C3" s="26" t="s">
        <v>59</v>
      </c>
      <c r="D3" s="27" t="str">
        <f>VLOOKUP(C3,Sheet4!$A$2:$D$103,2)</f>
        <v>Eugene Hildebrand</v>
      </c>
      <c r="E3" s="28">
        <f>VLOOKUP(C3,Sheet4!$A$2:$D$103,3)</f>
        <v>9</v>
      </c>
    </row>
    <row r="4" spans="3:5" ht="21" x14ac:dyDescent="0.5">
      <c r="C4" s="26" t="s">
        <v>79</v>
      </c>
      <c r="D4" s="27" t="str">
        <f>VLOOKUP(C4,Sheet4!$A$2:$D$103,2)</f>
        <v>Alan Barnes</v>
      </c>
      <c r="E4" s="28">
        <f>VLOOKUP(C4,Sheet4!$A$2:$D$103,3)</f>
        <v>40</v>
      </c>
    </row>
    <row r="5" spans="3:5" ht="21" x14ac:dyDescent="0.5">
      <c r="C5" s="26" t="s">
        <v>96</v>
      </c>
      <c r="D5" s="27" t="str">
        <f>VLOOKUP(C5,Sheet4!$A$2:$D$103,2)</f>
        <v>Frank Gastineau</v>
      </c>
      <c r="E5" s="28">
        <f>VLOOKUP(C5,Sheet4!$A$2:$D$103,3)</f>
        <v>297</v>
      </c>
    </row>
    <row r="6" spans="3:5" ht="21" x14ac:dyDescent="0.5">
      <c r="C6" s="26" t="s">
        <v>101</v>
      </c>
      <c r="D6" s="27" t="str">
        <f>VLOOKUP(C6,Sheet4!$A$2:$D$103,2)</f>
        <v>Bart Pistole</v>
      </c>
      <c r="E6" s="28">
        <f>VLOOKUP(C6,Sheet4!$A$2:$D$103,3)</f>
        <v>241</v>
      </c>
    </row>
    <row r="7" spans="3:5" ht="21" x14ac:dyDescent="0.5">
      <c r="C7" s="26" t="s">
        <v>114</v>
      </c>
      <c r="D7" s="27" t="str">
        <f>VLOOKUP(C7,Sheet4!$A$2:$D$103,2)</f>
        <v>Michael Knudson</v>
      </c>
      <c r="E7" s="28">
        <f>VLOOKUP(C7,Sheet4!$A$2:$D$103,3)</f>
        <v>-21</v>
      </c>
    </row>
    <row r="8" spans="3:5" ht="21" x14ac:dyDescent="0.5">
      <c r="C8" s="26" t="s">
        <v>194</v>
      </c>
      <c r="D8" s="27" t="str">
        <f>VLOOKUP(C8,Sheet4!$A$2:$D$103,2)</f>
        <v>Neil Cohen</v>
      </c>
      <c r="E8" s="28">
        <f>VLOOKUP(C8,Sheet4!$A$2:$D$103,3)</f>
        <v>23</v>
      </c>
    </row>
    <row r="9" spans="3:5" ht="21.5" thickBot="1" x14ac:dyDescent="0.55000000000000004">
      <c r="C9" s="29" t="s">
        <v>116</v>
      </c>
      <c r="D9" s="27" t="str">
        <f>VLOOKUP(C9,Sheet4!$A$2:$D$103,2)</f>
        <v>Scott Cohen</v>
      </c>
      <c r="E9" s="28">
        <f>VLOOKUP(C9,Sheet4!$A$2:$D$103,3)</f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627D-D141-4906-880E-961CC5C37027}">
  <dimension ref="A1:CY9"/>
  <sheetViews>
    <sheetView tabSelected="1" workbookViewId="0">
      <selection activeCell="F10" sqref="F10"/>
    </sheetView>
  </sheetViews>
  <sheetFormatPr defaultRowHeight="14.5" x14ac:dyDescent="0.35"/>
  <cols>
    <col min="1" max="1" width="20.90625" customWidth="1"/>
  </cols>
  <sheetData>
    <row r="1" spans="1:103" ht="21" x14ac:dyDescent="0.5">
      <c r="A1" s="21" t="s">
        <v>56</v>
      </c>
      <c r="B1" s="2" t="s">
        <v>59</v>
      </c>
      <c r="C1" s="2" t="s">
        <v>61</v>
      </c>
      <c r="D1" s="2" t="s">
        <v>63</v>
      </c>
      <c r="E1" s="2" t="s">
        <v>65</v>
      </c>
      <c r="F1" s="2" t="s">
        <v>67</v>
      </c>
      <c r="G1" s="2" t="s">
        <v>69</v>
      </c>
      <c r="H1" s="2" t="s">
        <v>71</v>
      </c>
      <c r="I1" s="2" t="s">
        <v>73</v>
      </c>
      <c r="J1" s="2" t="s">
        <v>75</v>
      </c>
      <c r="K1" s="2" t="s">
        <v>77</v>
      </c>
      <c r="L1" s="2" t="s">
        <v>79</v>
      </c>
      <c r="M1" s="2" t="s">
        <v>81</v>
      </c>
      <c r="N1" s="2" t="s">
        <v>83</v>
      </c>
      <c r="O1" s="2" t="s">
        <v>85</v>
      </c>
      <c r="P1" s="2" t="s">
        <v>87</v>
      </c>
      <c r="Q1" s="2" t="s">
        <v>89</v>
      </c>
      <c r="R1" s="2" t="s">
        <v>90</v>
      </c>
      <c r="S1" s="2" t="s">
        <v>92</v>
      </c>
      <c r="T1" s="2" t="s">
        <v>94</v>
      </c>
      <c r="U1" s="2" t="s">
        <v>96</v>
      </c>
      <c r="V1" s="2" t="s">
        <v>98</v>
      </c>
      <c r="W1" s="2" t="s">
        <v>99</v>
      </c>
      <c r="X1" s="2" t="s">
        <v>101</v>
      </c>
      <c r="Y1" s="2" t="s">
        <v>103</v>
      </c>
      <c r="Z1" s="2" t="s">
        <v>105</v>
      </c>
      <c r="AA1" s="2" t="s">
        <v>107</v>
      </c>
      <c r="AB1" s="2" t="s">
        <v>108</v>
      </c>
      <c r="AC1" s="2" t="s">
        <v>109</v>
      </c>
      <c r="AD1" s="2" t="s">
        <v>110</v>
      </c>
      <c r="AE1" s="2" t="s">
        <v>111</v>
      </c>
      <c r="AF1" s="2" t="s">
        <v>112</v>
      </c>
      <c r="AG1" s="2" t="s">
        <v>113</v>
      </c>
      <c r="AH1" s="2" t="s">
        <v>114</v>
      </c>
      <c r="AI1" s="2" t="s">
        <v>115</v>
      </c>
      <c r="AJ1" s="2" t="s">
        <v>116</v>
      </c>
      <c r="AK1" s="2" t="s">
        <v>118</v>
      </c>
      <c r="AL1" s="2" t="s">
        <v>119</v>
      </c>
      <c r="AM1" s="2" t="s">
        <v>120</v>
      </c>
      <c r="AN1" s="2" t="s">
        <v>121</v>
      </c>
      <c r="AO1" s="2" t="s">
        <v>122</v>
      </c>
      <c r="AP1" s="2" t="s">
        <v>124</v>
      </c>
      <c r="AQ1" s="2" t="s">
        <v>126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140</v>
      </c>
      <c r="BB1" s="2" t="s">
        <v>142</v>
      </c>
      <c r="BC1" s="2" t="s">
        <v>143</v>
      </c>
      <c r="BD1" s="2" t="s">
        <v>144</v>
      </c>
      <c r="BE1" s="2" t="s">
        <v>145</v>
      </c>
      <c r="BF1" s="2" t="s">
        <v>146</v>
      </c>
      <c r="BG1" s="2" t="s">
        <v>147</v>
      </c>
      <c r="BH1" s="2" t="s">
        <v>149</v>
      </c>
      <c r="BI1" s="2" t="s">
        <v>150</v>
      </c>
      <c r="BJ1" s="2" t="s">
        <v>151</v>
      </c>
      <c r="BK1" s="2" t="s">
        <v>152</v>
      </c>
      <c r="BL1" s="2" t="s">
        <v>153</v>
      </c>
      <c r="BM1" s="2" t="s">
        <v>154</v>
      </c>
      <c r="BN1" s="2" t="s">
        <v>155</v>
      </c>
      <c r="BO1" s="2" t="s">
        <v>156</v>
      </c>
      <c r="BP1" s="2" t="s">
        <v>158</v>
      </c>
      <c r="BQ1" s="2" t="s">
        <v>159</v>
      </c>
      <c r="BR1" s="2" t="s">
        <v>160</v>
      </c>
      <c r="BS1" s="2" t="s">
        <v>161</v>
      </c>
      <c r="BT1" s="2" t="s">
        <v>162</v>
      </c>
      <c r="BU1" s="2" t="s">
        <v>163</v>
      </c>
      <c r="BV1" s="2" t="s">
        <v>164</v>
      </c>
      <c r="BW1" s="2" t="s">
        <v>165</v>
      </c>
      <c r="BX1" s="2" t="s">
        <v>166</v>
      </c>
      <c r="BY1" s="2" t="s">
        <v>167</v>
      </c>
      <c r="BZ1" s="2" t="s">
        <v>168</v>
      </c>
      <c r="CA1" s="2" t="s">
        <v>169</v>
      </c>
      <c r="CB1" s="2" t="s">
        <v>170</v>
      </c>
      <c r="CC1" s="2" t="s">
        <v>171</v>
      </c>
      <c r="CD1" s="2" t="s">
        <v>172</v>
      </c>
      <c r="CE1" s="2" t="s">
        <v>173</v>
      </c>
      <c r="CF1" s="2" t="s">
        <v>174</v>
      </c>
      <c r="CG1" s="2" t="s">
        <v>175</v>
      </c>
      <c r="CH1" s="2" t="s">
        <v>176</v>
      </c>
      <c r="CI1" s="2" t="s">
        <v>177</v>
      </c>
      <c r="CJ1" s="2" t="s">
        <v>178</v>
      </c>
      <c r="CK1" s="2" t="s">
        <v>179</v>
      </c>
      <c r="CL1" s="2" t="s">
        <v>180</v>
      </c>
      <c r="CM1" s="2" t="s">
        <v>181</v>
      </c>
      <c r="CN1" s="2" t="s">
        <v>182</v>
      </c>
      <c r="CO1" s="2" t="s">
        <v>183</v>
      </c>
      <c r="CP1" s="2" t="s">
        <v>184</v>
      </c>
      <c r="CQ1" s="2" t="s">
        <v>185</v>
      </c>
      <c r="CR1" s="2" t="s">
        <v>186</v>
      </c>
      <c r="CS1" s="2" t="s">
        <v>187</v>
      </c>
      <c r="CT1" s="2" t="s">
        <v>188</v>
      </c>
      <c r="CU1" s="2" t="s">
        <v>189</v>
      </c>
      <c r="CV1" s="2" t="s">
        <v>190</v>
      </c>
      <c r="CW1" s="2" t="s">
        <v>191</v>
      </c>
      <c r="CX1" s="2" t="s">
        <v>192</v>
      </c>
      <c r="CY1" s="2" t="s">
        <v>193</v>
      </c>
    </row>
    <row r="2" spans="1:103" ht="21" x14ac:dyDescent="0.5">
      <c r="A2" s="21" t="s">
        <v>57</v>
      </c>
      <c r="B2" s="2" t="s">
        <v>60</v>
      </c>
      <c r="C2" s="2" t="s">
        <v>62</v>
      </c>
      <c r="D2" s="2" t="s">
        <v>64</v>
      </c>
      <c r="E2" s="2" t="s">
        <v>66</v>
      </c>
      <c r="F2" s="2" t="s">
        <v>68</v>
      </c>
      <c r="G2" s="2" t="s">
        <v>70</v>
      </c>
      <c r="H2" s="2" t="s">
        <v>72</v>
      </c>
      <c r="I2" s="2" t="s">
        <v>74</v>
      </c>
      <c r="J2" s="2" t="s">
        <v>76</v>
      </c>
      <c r="K2" s="2" t="s">
        <v>78</v>
      </c>
      <c r="L2" s="2" t="s">
        <v>80</v>
      </c>
      <c r="M2" s="2" t="s">
        <v>82</v>
      </c>
      <c r="N2" s="2" t="s">
        <v>84</v>
      </c>
      <c r="O2" s="2" t="s">
        <v>86</v>
      </c>
      <c r="P2" s="2" t="s">
        <v>88</v>
      </c>
      <c r="Q2" s="2" t="s">
        <v>72</v>
      </c>
      <c r="R2" s="2" t="s">
        <v>91</v>
      </c>
      <c r="S2" s="2" t="s">
        <v>93</v>
      </c>
      <c r="T2" s="2" t="s">
        <v>95</v>
      </c>
      <c r="U2" s="2" t="s">
        <v>97</v>
      </c>
      <c r="V2" s="2" t="s">
        <v>93</v>
      </c>
      <c r="W2" s="2" t="s">
        <v>100</v>
      </c>
      <c r="X2" s="2" t="s">
        <v>102</v>
      </c>
      <c r="Y2" s="2" t="s">
        <v>104</v>
      </c>
      <c r="Z2" s="2" t="s">
        <v>106</v>
      </c>
      <c r="AA2" s="2" t="s">
        <v>74</v>
      </c>
      <c r="AB2" s="2" t="s">
        <v>74</v>
      </c>
      <c r="AC2" s="2" t="s">
        <v>64</v>
      </c>
      <c r="AD2" s="2" t="s">
        <v>70</v>
      </c>
      <c r="AE2" s="2" t="s">
        <v>82</v>
      </c>
      <c r="AF2" s="2" t="s">
        <v>104</v>
      </c>
      <c r="AG2" s="2" t="s">
        <v>88</v>
      </c>
      <c r="AH2" s="2" t="s">
        <v>68</v>
      </c>
      <c r="AI2" s="2" t="s">
        <v>97</v>
      </c>
      <c r="AJ2" s="2" t="s">
        <v>117</v>
      </c>
      <c r="AK2" s="2" t="s">
        <v>62</v>
      </c>
      <c r="AL2" s="2" t="s">
        <v>100</v>
      </c>
      <c r="AM2" s="2" t="s">
        <v>68</v>
      </c>
      <c r="AN2" s="2" t="s">
        <v>60</v>
      </c>
      <c r="AO2" s="2" t="s">
        <v>123</v>
      </c>
      <c r="AP2" s="2" t="s">
        <v>125</v>
      </c>
      <c r="AQ2" s="2" t="s">
        <v>127</v>
      </c>
      <c r="AR2" s="2" t="s">
        <v>68</v>
      </c>
      <c r="AS2" s="2" t="s">
        <v>130</v>
      </c>
      <c r="AT2" s="2" t="s">
        <v>64</v>
      </c>
      <c r="AU2" s="2" t="s">
        <v>133</v>
      </c>
      <c r="AV2" s="2" t="s">
        <v>70</v>
      </c>
      <c r="AW2" s="2" t="s">
        <v>91</v>
      </c>
      <c r="AX2" s="2" t="s">
        <v>68</v>
      </c>
      <c r="AY2" s="2" t="s">
        <v>93</v>
      </c>
      <c r="AZ2" s="2" t="s">
        <v>139</v>
      </c>
      <c r="BA2" s="2" t="s">
        <v>141</v>
      </c>
      <c r="BB2" s="2" t="s">
        <v>82</v>
      </c>
      <c r="BC2" s="2" t="s">
        <v>74</v>
      </c>
      <c r="BD2" s="2" t="s">
        <v>72</v>
      </c>
      <c r="BE2" s="2" t="s">
        <v>97</v>
      </c>
      <c r="BF2" s="2" t="s">
        <v>88</v>
      </c>
      <c r="BG2" s="2" t="s">
        <v>148</v>
      </c>
      <c r="BH2" s="2" t="s">
        <v>100</v>
      </c>
      <c r="BI2" s="2" t="s">
        <v>117</v>
      </c>
      <c r="BJ2" s="2" t="s">
        <v>123</v>
      </c>
      <c r="BK2" s="2" t="s">
        <v>125</v>
      </c>
      <c r="BL2" s="2" t="s">
        <v>104</v>
      </c>
      <c r="BM2" s="2" t="s">
        <v>60</v>
      </c>
      <c r="BN2" s="2" t="s">
        <v>62</v>
      </c>
      <c r="BO2" s="2" t="s">
        <v>157</v>
      </c>
      <c r="BP2" s="2" t="s">
        <v>74</v>
      </c>
      <c r="BQ2" s="2" t="s">
        <v>68</v>
      </c>
      <c r="BR2" s="2" t="s">
        <v>60</v>
      </c>
      <c r="BS2" s="2" t="s">
        <v>127</v>
      </c>
      <c r="BT2" s="2" t="s">
        <v>130</v>
      </c>
      <c r="BU2" s="2" t="s">
        <v>64</v>
      </c>
      <c r="BV2" s="2" t="s">
        <v>133</v>
      </c>
      <c r="BW2" s="2" t="s">
        <v>66</v>
      </c>
      <c r="BX2" s="2" t="s">
        <v>70</v>
      </c>
      <c r="BY2" s="2" t="s">
        <v>117</v>
      </c>
      <c r="BZ2" s="2" t="s">
        <v>93</v>
      </c>
      <c r="CA2" s="2" t="s">
        <v>76</v>
      </c>
      <c r="CB2" s="2" t="s">
        <v>139</v>
      </c>
      <c r="CC2" s="2" t="s">
        <v>78</v>
      </c>
      <c r="CD2" s="2" t="s">
        <v>141</v>
      </c>
      <c r="CE2" s="2" t="s">
        <v>80</v>
      </c>
      <c r="CF2" s="2" t="s">
        <v>82</v>
      </c>
      <c r="CG2" s="2" t="s">
        <v>91</v>
      </c>
      <c r="CH2" s="2" t="s">
        <v>84</v>
      </c>
      <c r="CI2" s="2" t="s">
        <v>86</v>
      </c>
      <c r="CJ2" s="2" t="s">
        <v>62</v>
      </c>
      <c r="CK2" s="2" t="s">
        <v>72</v>
      </c>
      <c r="CL2" s="2" t="s">
        <v>88</v>
      </c>
      <c r="CM2" s="2" t="s">
        <v>148</v>
      </c>
      <c r="CN2" s="2" t="s">
        <v>72</v>
      </c>
      <c r="CO2" s="2" t="s">
        <v>91</v>
      </c>
      <c r="CP2" s="2" t="s">
        <v>68</v>
      </c>
      <c r="CQ2" s="2" t="s">
        <v>93</v>
      </c>
      <c r="CR2" s="2" t="s">
        <v>95</v>
      </c>
      <c r="CS2" s="2" t="s">
        <v>100</v>
      </c>
      <c r="CT2" s="2" t="s">
        <v>117</v>
      </c>
      <c r="CU2" s="2" t="s">
        <v>97</v>
      </c>
      <c r="CV2" s="2" t="s">
        <v>102</v>
      </c>
      <c r="CW2" s="2" t="s">
        <v>106</v>
      </c>
      <c r="CX2" s="2" t="s">
        <v>74</v>
      </c>
      <c r="CY2" s="2" t="s">
        <v>157</v>
      </c>
    </row>
    <row r="3" spans="1:103" ht="21" x14ac:dyDescent="0.5">
      <c r="A3" s="21" t="s">
        <v>6</v>
      </c>
      <c r="B3" s="2">
        <v>9</v>
      </c>
      <c r="C3" s="2">
        <v>4</v>
      </c>
      <c r="D3" s="2">
        <v>89</v>
      </c>
      <c r="E3" s="2">
        <v>182</v>
      </c>
      <c r="F3" s="2">
        <v>-19</v>
      </c>
      <c r="G3" s="2">
        <v>15</v>
      </c>
      <c r="H3" s="2">
        <v>88</v>
      </c>
      <c r="I3" s="2">
        <v>-25</v>
      </c>
      <c r="J3" s="2">
        <v>26</v>
      </c>
      <c r="K3" s="2">
        <v>4</v>
      </c>
      <c r="L3" s="2">
        <v>40</v>
      </c>
      <c r="M3" s="2">
        <v>255</v>
      </c>
      <c r="N3" s="2">
        <v>-14</v>
      </c>
      <c r="O3" s="2">
        <v>9</v>
      </c>
      <c r="P3" s="2">
        <v>195</v>
      </c>
      <c r="Q3" s="2">
        <v>30</v>
      </c>
      <c r="R3" s="2">
        <v>-1</v>
      </c>
      <c r="S3" s="2">
        <v>10</v>
      </c>
      <c r="T3" s="2">
        <v>432</v>
      </c>
      <c r="U3" s="2">
        <v>297</v>
      </c>
      <c r="V3" s="2">
        <v>71</v>
      </c>
      <c r="W3" s="2">
        <v>17</v>
      </c>
      <c r="X3" s="2">
        <v>241</v>
      </c>
      <c r="Y3" s="2">
        <v>216</v>
      </c>
      <c r="Z3" s="2">
        <v>-55</v>
      </c>
      <c r="AA3" s="2">
        <v>23</v>
      </c>
      <c r="AB3" s="2">
        <v>-25</v>
      </c>
      <c r="AC3" s="2">
        <v>89</v>
      </c>
      <c r="AD3" s="2">
        <v>79</v>
      </c>
      <c r="AE3" s="2">
        <v>16</v>
      </c>
      <c r="AF3" s="2">
        <v>9</v>
      </c>
      <c r="AG3" s="2">
        <v>195</v>
      </c>
      <c r="AH3" s="2">
        <v>-21</v>
      </c>
      <c r="AI3" s="2">
        <v>4</v>
      </c>
      <c r="AJ3" s="2">
        <v>2</v>
      </c>
      <c r="AK3" s="2">
        <v>2</v>
      </c>
      <c r="AL3" s="2">
        <v>9</v>
      </c>
      <c r="AM3" s="2">
        <v>2</v>
      </c>
      <c r="AN3" s="2">
        <v>1</v>
      </c>
      <c r="AO3" s="2">
        <v>30</v>
      </c>
      <c r="AP3" s="2">
        <v>10</v>
      </c>
      <c r="AQ3" s="2">
        <v>14</v>
      </c>
      <c r="AR3" s="2">
        <v>2</v>
      </c>
      <c r="AS3" s="2">
        <v>127</v>
      </c>
      <c r="AT3" s="2">
        <v>89</v>
      </c>
      <c r="AU3" s="2">
        <v>-99</v>
      </c>
      <c r="AV3" s="2">
        <v>15</v>
      </c>
      <c r="AW3" s="2">
        <v>165</v>
      </c>
      <c r="AX3" s="2">
        <v>-21</v>
      </c>
      <c r="AY3" s="2">
        <v>35</v>
      </c>
      <c r="AZ3" s="2">
        <v>20</v>
      </c>
      <c r="BA3" s="2">
        <v>11</v>
      </c>
      <c r="BB3" s="2">
        <v>255</v>
      </c>
      <c r="BC3" s="2">
        <v>-25</v>
      </c>
      <c r="BD3" s="2">
        <v>30</v>
      </c>
      <c r="BE3" s="2">
        <v>-6</v>
      </c>
      <c r="BF3" s="2">
        <v>195</v>
      </c>
      <c r="BG3" s="2">
        <v>-31</v>
      </c>
      <c r="BH3" s="2">
        <v>17</v>
      </c>
      <c r="BI3" s="2">
        <v>2</v>
      </c>
      <c r="BJ3" s="2">
        <v>24</v>
      </c>
      <c r="BK3" s="2">
        <v>10</v>
      </c>
      <c r="BL3" s="2">
        <v>15</v>
      </c>
      <c r="BM3" s="2">
        <v>3</v>
      </c>
      <c r="BN3" s="2">
        <v>17</v>
      </c>
      <c r="BO3" s="2">
        <v>4</v>
      </c>
      <c r="BP3" s="2">
        <v>-25</v>
      </c>
      <c r="BQ3" s="2">
        <v>-21</v>
      </c>
      <c r="BR3" s="2">
        <v>9</v>
      </c>
      <c r="BS3" s="2">
        <v>24</v>
      </c>
      <c r="BT3" s="2">
        <v>54</v>
      </c>
      <c r="BU3" s="2">
        <v>89</v>
      </c>
      <c r="BV3" s="2">
        <v>-99</v>
      </c>
      <c r="BW3" s="2">
        <v>182</v>
      </c>
      <c r="BX3" s="2">
        <v>15</v>
      </c>
      <c r="BY3" s="2">
        <v>2</v>
      </c>
      <c r="BZ3" s="2">
        <v>35</v>
      </c>
      <c r="CA3" s="2">
        <v>2</v>
      </c>
      <c r="CB3" s="2">
        <v>9</v>
      </c>
      <c r="CC3" s="2">
        <v>1</v>
      </c>
      <c r="CD3" s="2">
        <v>-33</v>
      </c>
      <c r="CE3" s="2">
        <v>2</v>
      </c>
      <c r="CF3" s="2">
        <v>255</v>
      </c>
      <c r="CG3" s="2">
        <v>165</v>
      </c>
      <c r="CH3" s="22">
        <v>1417</v>
      </c>
      <c r="CI3" s="2">
        <v>9</v>
      </c>
      <c r="CJ3" s="2">
        <v>9</v>
      </c>
      <c r="CK3" s="2">
        <v>30</v>
      </c>
      <c r="CL3" s="2">
        <v>195</v>
      </c>
      <c r="CM3" s="2">
        <v>58</v>
      </c>
      <c r="CN3" s="2">
        <v>30</v>
      </c>
      <c r="CO3" s="2">
        <v>-1</v>
      </c>
      <c r="CP3" s="2">
        <v>2</v>
      </c>
      <c r="CQ3" s="2">
        <v>35</v>
      </c>
      <c r="CR3" s="2">
        <v>10</v>
      </c>
      <c r="CS3" s="2">
        <v>17</v>
      </c>
      <c r="CT3" s="2">
        <v>2</v>
      </c>
      <c r="CU3" s="2">
        <v>3</v>
      </c>
      <c r="CV3" s="2">
        <v>28</v>
      </c>
      <c r="CW3" s="2">
        <v>-55</v>
      </c>
      <c r="CX3" s="2">
        <v>23</v>
      </c>
      <c r="CY3" s="2">
        <v>4</v>
      </c>
    </row>
    <row r="4" spans="1:103" ht="21" x14ac:dyDescent="0.5">
      <c r="A4" s="21" t="s">
        <v>58</v>
      </c>
      <c r="B4" s="2">
        <v>33</v>
      </c>
      <c r="C4" s="2">
        <v>11</v>
      </c>
      <c r="D4" s="2">
        <v>281</v>
      </c>
      <c r="E4" s="2">
        <v>388</v>
      </c>
      <c r="F4" s="2">
        <v>56</v>
      </c>
      <c r="G4" s="2">
        <v>42</v>
      </c>
      <c r="H4" s="2">
        <v>258</v>
      </c>
      <c r="I4" s="2">
        <v>58</v>
      </c>
      <c r="J4" s="2">
        <v>174</v>
      </c>
      <c r="K4" s="2">
        <v>15</v>
      </c>
      <c r="L4" s="2">
        <v>94</v>
      </c>
      <c r="M4" s="2">
        <v>601</v>
      </c>
      <c r="N4" s="2">
        <v>753</v>
      </c>
      <c r="O4" s="2">
        <v>19</v>
      </c>
      <c r="P4" s="22">
        <v>1243</v>
      </c>
      <c r="Q4" s="2">
        <v>88</v>
      </c>
      <c r="R4" s="2">
        <v>3</v>
      </c>
      <c r="S4" s="2">
        <v>20</v>
      </c>
      <c r="T4" s="22">
        <v>1843</v>
      </c>
      <c r="U4" s="2">
        <v>712</v>
      </c>
      <c r="V4" s="2">
        <v>198</v>
      </c>
      <c r="W4" s="2">
        <v>38</v>
      </c>
      <c r="X4" s="2">
        <v>830</v>
      </c>
      <c r="Y4" s="22">
        <v>1091</v>
      </c>
      <c r="Z4" s="2">
        <v>868</v>
      </c>
      <c r="AA4" s="2">
        <v>74</v>
      </c>
      <c r="AB4" s="2">
        <v>58</v>
      </c>
      <c r="AC4" s="2">
        <v>281</v>
      </c>
      <c r="AD4" s="2">
        <v>402</v>
      </c>
      <c r="AE4" s="2">
        <v>159</v>
      </c>
      <c r="AF4" s="2">
        <v>115</v>
      </c>
      <c r="AG4" s="22">
        <v>1243</v>
      </c>
      <c r="AH4" s="2">
        <v>40</v>
      </c>
      <c r="AI4" s="2">
        <v>9</v>
      </c>
      <c r="AJ4" s="2">
        <v>7</v>
      </c>
      <c r="AK4" s="2">
        <v>7</v>
      </c>
      <c r="AL4" s="2">
        <v>24</v>
      </c>
      <c r="AM4" s="2">
        <v>16</v>
      </c>
      <c r="AN4" s="2">
        <v>2</v>
      </c>
      <c r="AO4" s="2">
        <v>74</v>
      </c>
      <c r="AP4" s="2">
        <v>22</v>
      </c>
      <c r="AQ4" s="2">
        <v>79</v>
      </c>
      <c r="AR4" s="2">
        <v>16</v>
      </c>
      <c r="AS4" s="22">
        <v>1039</v>
      </c>
      <c r="AT4" s="2">
        <v>281</v>
      </c>
      <c r="AU4" s="2">
        <v>72</v>
      </c>
      <c r="AV4" s="2">
        <v>42</v>
      </c>
      <c r="AW4" s="2">
        <v>541</v>
      </c>
      <c r="AX4" s="2">
        <v>40</v>
      </c>
      <c r="AY4" s="2">
        <v>99</v>
      </c>
      <c r="AZ4" s="2">
        <v>64</v>
      </c>
      <c r="BA4" s="2">
        <v>137</v>
      </c>
      <c r="BB4" s="2">
        <v>601</v>
      </c>
      <c r="BC4" s="2">
        <v>58</v>
      </c>
      <c r="BD4" s="2">
        <v>88</v>
      </c>
      <c r="BE4" s="2">
        <v>14</v>
      </c>
      <c r="BF4" s="22">
        <v>1243</v>
      </c>
      <c r="BG4" s="2">
        <v>83</v>
      </c>
      <c r="BH4" s="2">
        <v>38</v>
      </c>
      <c r="BI4" s="2">
        <v>7</v>
      </c>
      <c r="BJ4" s="2">
        <v>54</v>
      </c>
      <c r="BK4" s="2">
        <v>22</v>
      </c>
      <c r="BL4" s="2">
        <v>55</v>
      </c>
      <c r="BM4" s="2">
        <v>6</v>
      </c>
      <c r="BN4" s="2">
        <v>38</v>
      </c>
      <c r="BO4" s="2">
        <v>10</v>
      </c>
      <c r="BP4" s="2">
        <v>58</v>
      </c>
      <c r="BQ4" s="2">
        <v>40</v>
      </c>
      <c r="BR4" s="2">
        <v>19</v>
      </c>
      <c r="BS4" s="2">
        <v>258</v>
      </c>
      <c r="BT4" s="2">
        <v>725</v>
      </c>
      <c r="BU4" s="2">
        <v>281</v>
      </c>
      <c r="BV4" s="2">
        <v>72</v>
      </c>
      <c r="BW4" s="2">
        <v>388</v>
      </c>
      <c r="BX4" s="2">
        <v>42</v>
      </c>
      <c r="BY4" s="2">
        <v>7</v>
      </c>
      <c r="BZ4" s="2">
        <v>99</v>
      </c>
      <c r="CA4" s="2">
        <v>41</v>
      </c>
      <c r="CB4" s="2">
        <v>68</v>
      </c>
      <c r="CC4" s="2">
        <v>3</v>
      </c>
      <c r="CD4" s="2">
        <v>30</v>
      </c>
      <c r="CE4" s="2">
        <v>7</v>
      </c>
      <c r="CF4" s="2">
        <v>601</v>
      </c>
      <c r="CG4" s="2">
        <v>541</v>
      </c>
      <c r="CH4" s="22">
        <v>5607</v>
      </c>
      <c r="CI4" s="2">
        <v>19</v>
      </c>
      <c r="CJ4" s="2">
        <v>19</v>
      </c>
      <c r="CK4" s="2">
        <v>88</v>
      </c>
      <c r="CL4" s="22">
        <v>1243</v>
      </c>
      <c r="CM4" s="2">
        <v>126</v>
      </c>
      <c r="CN4" s="2">
        <v>88</v>
      </c>
      <c r="CO4" s="2">
        <v>3</v>
      </c>
      <c r="CP4" s="2">
        <v>16</v>
      </c>
      <c r="CQ4" s="2">
        <v>99</v>
      </c>
      <c r="CR4" s="2">
        <v>679</v>
      </c>
      <c r="CS4" s="2">
        <v>38</v>
      </c>
      <c r="CT4" s="2">
        <v>7</v>
      </c>
      <c r="CU4" s="2">
        <v>6</v>
      </c>
      <c r="CV4" s="2">
        <v>79</v>
      </c>
      <c r="CW4" s="2">
        <v>868</v>
      </c>
      <c r="CX4" s="2">
        <v>74</v>
      </c>
      <c r="CY4" s="2">
        <v>10</v>
      </c>
    </row>
    <row r="7" spans="1:103" ht="21" x14ac:dyDescent="0.5">
      <c r="F7" s="2" t="s">
        <v>68</v>
      </c>
    </row>
    <row r="9" spans="1:103" x14ac:dyDescent="0.35">
      <c r="F9">
        <f>HLOOKUP(F7,B2:K4,3)</f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22A0-8CD4-4011-A277-BA7AF83D8DD4}">
  <dimension ref="C5:E13"/>
  <sheetViews>
    <sheetView topLeftCell="A4" workbookViewId="0">
      <selection activeCell="H9" sqref="H9"/>
    </sheetView>
  </sheetViews>
  <sheetFormatPr defaultRowHeight="14.5" x14ac:dyDescent="0.35"/>
  <cols>
    <col min="3" max="3" width="21.26953125" customWidth="1"/>
    <col min="4" max="4" width="23.54296875" customWidth="1"/>
  </cols>
  <sheetData>
    <row r="5" spans="3:5" ht="15" thickBot="1" x14ac:dyDescent="0.4"/>
    <row r="6" spans="3:5" ht="21" x14ac:dyDescent="0.5">
      <c r="C6" s="23" t="s">
        <v>56</v>
      </c>
      <c r="D6" s="24" t="s">
        <v>57</v>
      </c>
      <c r="E6" s="25" t="s">
        <v>6</v>
      </c>
    </row>
    <row r="7" spans="3:5" ht="21" x14ac:dyDescent="0.5">
      <c r="C7" s="26" t="s">
        <v>59</v>
      </c>
      <c r="D7" s="27" t="str">
        <f>HLOOKUP(C7,Sheet6!$B$1:$DA$4,2)</f>
        <v>Eugene Hildebrand</v>
      </c>
      <c r="E7" s="28">
        <f>HLOOKUP(C7,Sheet6!$B$1:$DA$4,3)</f>
        <v>9</v>
      </c>
    </row>
    <row r="8" spans="3:5" ht="21" x14ac:dyDescent="0.5">
      <c r="C8" s="26" t="s">
        <v>79</v>
      </c>
      <c r="D8" s="27" t="str">
        <f>HLOOKUP(C8,Sheet6!$B$1:$DA$4,2)</f>
        <v>Alan Barnes</v>
      </c>
      <c r="E8" s="28">
        <f>HLOOKUP(C8,Sheet6!$B$1:$DA$4,3)</f>
        <v>40</v>
      </c>
    </row>
    <row r="9" spans="3:5" ht="21" x14ac:dyDescent="0.5">
      <c r="C9" s="26" t="s">
        <v>96</v>
      </c>
      <c r="D9" s="27" t="str">
        <f>HLOOKUP(C9,Sheet6!$B$1:$DA$4,2)</f>
        <v>Frank Gastineau</v>
      </c>
      <c r="E9" s="28">
        <f>HLOOKUP(C9,Sheet6!$B$1:$DA$4,3)</f>
        <v>297</v>
      </c>
    </row>
    <row r="10" spans="3:5" ht="21" x14ac:dyDescent="0.5">
      <c r="C10" s="26" t="s">
        <v>101</v>
      </c>
      <c r="D10" s="27" t="str">
        <f>HLOOKUP(C10,Sheet6!$B$1:$DA$4,2)</f>
        <v>Bart Pistole</v>
      </c>
      <c r="E10" s="28">
        <f>HLOOKUP(C10,Sheet6!$B$1:$DA$4,3)</f>
        <v>241</v>
      </c>
    </row>
    <row r="11" spans="3:5" ht="21" x14ac:dyDescent="0.5">
      <c r="C11" s="26" t="s">
        <v>114</v>
      </c>
      <c r="D11" s="27" t="str">
        <f>HLOOKUP(C11,Sheet6!$B$1:$DA$4,2)</f>
        <v>Michael Knudson</v>
      </c>
      <c r="E11" s="28">
        <f>HLOOKUP(C11,Sheet6!$B$1:$DA$4,3)</f>
        <v>-21</v>
      </c>
    </row>
    <row r="12" spans="3:5" ht="21" x14ac:dyDescent="0.5">
      <c r="C12" s="26" t="s">
        <v>194</v>
      </c>
      <c r="D12" s="27" t="str">
        <f>HLOOKUP(C12,Sheet6!$B$1:$DA$4,2)</f>
        <v>Neil Cohen</v>
      </c>
      <c r="E12" s="28">
        <f>HLOOKUP(C12,Sheet6!$B$1:$DA$4,3)</f>
        <v>23</v>
      </c>
    </row>
    <row r="13" spans="3:5" ht="21.5" thickBot="1" x14ac:dyDescent="0.55000000000000004">
      <c r="C13" s="29" t="s">
        <v>116</v>
      </c>
      <c r="D13" s="27" t="str">
        <f>HLOOKUP(C13,Sheet6!$B$1:$DA$4,2)</f>
        <v>Scott Cohen</v>
      </c>
      <c r="E13" s="28">
        <f>HLOOKUP(C13,Sheet6!$B$1:$DA$4,3)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Asif Asi</cp:lastModifiedBy>
  <dcterms:created xsi:type="dcterms:W3CDTF">2024-05-22T09:53:26Z</dcterms:created>
  <dcterms:modified xsi:type="dcterms:W3CDTF">2025-03-27T12:32:50Z</dcterms:modified>
</cp:coreProperties>
</file>