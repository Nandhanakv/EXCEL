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f66ebc8a9c01533/Desktop/Excel/"/>
    </mc:Choice>
  </mc:AlternateContent>
  <xr:revisionPtr revIDLastSave="214" documentId="8_{E05BA39A-B4B7-484F-B5F4-8A24791F48B0}" xr6:coauthVersionLast="47" xr6:coauthVersionMax="47" xr10:uidLastSave="{7B897B79-64A0-44AF-AA5A-C013A32C46B4}"/>
  <bookViews>
    <workbookView xWindow="-110" yWindow="-110" windowWidth="19420" windowHeight="10300" activeTab="3" xr2:uid="{3D1915B1-81F1-4658-8E20-73BBD3B2D8E5}"/>
  </bookViews>
  <sheets>
    <sheet name="Sheet1" sheetId="1" r:id="rId1"/>
    <sheet name="Sheet2" sheetId="2" r:id="rId2"/>
    <sheet name="Sheet3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4" l="1"/>
  <c r="D14" i="3" a="1"/>
  <c r="D14" i="3" s="1"/>
  <c r="D11" i="3"/>
  <c r="F16" i="1"/>
  <c r="A11" i="1"/>
  <c r="B14" i="2" a="1"/>
  <c r="B14" i="2" s="1"/>
  <c r="D15" i="4"/>
  <c r="F17" i="1"/>
  <c r="A1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<sst xmlns="http://schemas.openxmlformats.org/spreadsheetml/2006/main" count="89" uniqueCount="79">
  <si>
    <t>XLOOKUP</t>
  </si>
  <si>
    <t>area code</t>
  </si>
  <si>
    <t>city</t>
  </si>
  <si>
    <t xml:space="preserve"> new york</t>
  </si>
  <si>
    <t xml:space="preserve"> los angeles</t>
  </si>
  <si>
    <t xml:space="preserve"> boston</t>
  </si>
  <si>
    <t xml:space="preserve"> detroit</t>
  </si>
  <si>
    <t xml:space="preserve"> chicago</t>
  </si>
  <si>
    <t xml:space="preserve"> washington DC</t>
  </si>
  <si>
    <t>to find the area code of chicago</t>
  </si>
  <si>
    <t>to find the city of area code 413</t>
  </si>
  <si>
    <t>Name</t>
  </si>
  <si>
    <t>City</t>
  </si>
  <si>
    <t>Favourite colour</t>
  </si>
  <si>
    <t>Dina</t>
  </si>
  <si>
    <t>new york</t>
  </si>
  <si>
    <t>blue</t>
  </si>
  <si>
    <t>green</t>
  </si>
  <si>
    <t>london</t>
  </si>
  <si>
    <t>jake</t>
  </si>
  <si>
    <t>joel</t>
  </si>
  <si>
    <t>tel aviv</t>
  </si>
  <si>
    <t>red</t>
  </si>
  <si>
    <t>yellow</t>
  </si>
  <si>
    <t>melbourne</t>
  </si>
  <si>
    <t>sam</t>
  </si>
  <si>
    <t>sydney</t>
  </si>
  <si>
    <t>black</t>
  </si>
  <si>
    <t>beijing</t>
  </si>
  <si>
    <t>noel</t>
  </si>
  <si>
    <t>john</t>
  </si>
  <si>
    <t>dallas</t>
  </si>
  <si>
    <t>DIna</t>
  </si>
  <si>
    <t>name</t>
  </si>
  <si>
    <t>dina</t>
  </si>
  <si>
    <t>fav color</t>
  </si>
  <si>
    <t>(from first to last(default))</t>
  </si>
  <si>
    <t>(from last to first =-1)(search mode)</t>
  </si>
  <si>
    <t>Car</t>
  </si>
  <si>
    <t>Type</t>
  </si>
  <si>
    <t>Plate Number</t>
  </si>
  <si>
    <t>color</t>
  </si>
  <si>
    <t>model year</t>
  </si>
  <si>
    <t>Toyota</t>
  </si>
  <si>
    <t>Corola</t>
  </si>
  <si>
    <t>Red</t>
  </si>
  <si>
    <t>Black</t>
  </si>
  <si>
    <t>X Trail</t>
  </si>
  <si>
    <t>Nissan</t>
  </si>
  <si>
    <t>Subaru</t>
  </si>
  <si>
    <t>Impreza</t>
  </si>
  <si>
    <t>S 600</t>
  </si>
  <si>
    <t>Mercedes</t>
  </si>
  <si>
    <t>Honda</t>
  </si>
  <si>
    <t>Civic</t>
  </si>
  <si>
    <t>Blue</t>
  </si>
  <si>
    <t>return all car details for the car with the plate number 5544667</t>
  </si>
  <si>
    <t xml:space="preserve">Quarter </t>
  </si>
  <si>
    <t>Q1</t>
  </si>
  <si>
    <t>Q2</t>
  </si>
  <si>
    <t>Q3</t>
  </si>
  <si>
    <t>Q4</t>
  </si>
  <si>
    <t>Revenue</t>
  </si>
  <si>
    <t>Cost of sale</t>
  </si>
  <si>
    <t>Gross profit</t>
  </si>
  <si>
    <t>use XLOOKUP to return the gross profit to q2</t>
  </si>
  <si>
    <t>gross profit</t>
  </si>
  <si>
    <t>All data</t>
  </si>
  <si>
    <t>q2</t>
  </si>
  <si>
    <t>Date</t>
  </si>
  <si>
    <t>Stock price</t>
  </si>
  <si>
    <t>date</t>
  </si>
  <si>
    <t>price day before</t>
  </si>
  <si>
    <t>price day after</t>
  </si>
  <si>
    <t>#=-1 smaller than</t>
  </si>
  <si>
    <t>#=1 greater than</t>
  </si>
  <si>
    <t>horizontally</t>
  </si>
  <si>
    <t>vertically</t>
  </si>
  <si>
    <t>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</si>
</sst>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lgerian"/>
      <family val="5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3" xfId="0" applyFont="1" applyBorder="1"/>
    <xf numFmtId="0" fontId="1" fillId="0" borderId="4" xfId="0" applyFont="1" applyBorder="1"/>
    <xf numFmtId="0" fontId="2" fillId="2" borderId="1" xfId="0" applyFont="1" applyFill="1" applyBorder="1"/>
    <xf numFmtId="0" fontId="2" fillId="2" borderId="7" xfId="0" applyFont="1" applyFill="1" applyBorder="1"/>
    <xf numFmtId="0" fontId="2" fillId="2" borderId="2" xfId="0" applyFont="1" applyFill="1" applyBorder="1"/>
    <xf numFmtId="0" fontId="2" fillId="3" borderId="3" xfId="0" applyFont="1" applyFill="1" applyBorder="1"/>
    <xf numFmtId="0" fontId="2" fillId="3" borderId="0" xfId="0" applyFont="1" applyFill="1"/>
    <xf numFmtId="0" fontId="2" fillId="3" borderId="4" xfId="0" applyFont="1" applyFill="1" applyBorder="1"/>
    <xf numFmtId="0" fontId="2" fillId="3" borderId="5" xfId="0" applyFont="1" applyFill="1" applyBorder="1"/>
    <xf numFmtId="0" fontId="2" fillId="3" borderId="8" xfId="0" applyFont="1" applyFill="1" applyBorder="1"/>
    <xf numFmtId="0" fontId="2" fillId="3" borderId="6" xfId="0" applyFont="1" applyFill="1" applyBorder="1"/>
    <xf numFmtId="0" fontId="0" fillId="4" borderId="0" xfId="0" applyFill="1"/>
    <xf numFmtId="0" fontId="0" fillId="0" borderId="9" xfId="0" applyBorder="1"/>
    <xf numFmtId="0" fontId="1" fillId="5" borderId="9" xfId="0" applyFont="1" applyFill="1" applyBorder="1"/>
    <xf numFmtId="0" fontId="1" fillId="5" borderId="10" xfId="0" applyFont="1" applyFill="1" applyBorder="1"/>
    <xf numFmtId="0" fontId="1" fillId="5" borderId="11" xfId="0" applyFont="1" applyFill="1" applyBorder="1"/>
    <xf numFmtId="0" fontId="1" fillId="5" borderId="12" xfId="0" applyFont="1" applyFill="1" applyBorder="1"/>
    <xf numFmtId="0" fontId="0" fillId="2" borderId="13" xfId="0" applyFill="1" applyBorder="1"/>
    <xf numFmtId="0" fontId="0" fillId="0" borderId="14" xfId="0" applyBorder="1"/>
    <xf numFmtId="0" fontId="0" fillId="0" borderId="15" xfId="0" applyBorder="1"/>
    <xf numFmtId="3" fontId="0" fillId="0" borderId="9" xfId="0" applyNumberFormat="1" applyBorder="1"/>
    <xf numFmtId="0" fontId="1" fillId="2" borderId="9" xfId="0" applyFont="1" applyFill="1" applyBorder="1"/>
    <xf numFmtId="0" fontId="0" fillId="6" borderId="0" xfId="0" applyFill="1"/>
    <xf numFmtId="14" fontId="0" fillId="0" borderId="0" xfId="0" applyNumberFormat="1"/>
    <xf numFmtId="14" fontId="0" fillId="0" borderId="9" xfId="0" applyNumberFormat="1" applyBorder="1"/>
    <xf numFmtId="0" fontId="1" fillId="6" borderId="9" xfId="0" applyFont="1" applyFill="1" applyBorder="1"/>
    <xf numFmtId="0" fontId="0" fillId="7" borderId="9" xfId="0" applyFill="1" applyBorder="1"/>
    <xf numFmtId="0" fontId="0" fillId="7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B883D-A52E-4B99-969B-36AA65E179EE}">
  <dimension ref="A1:G17"/>
  <sheetViews>
    <sheetView workbookViewId="0">
      <selection activeCell="F17" sqref="F17"/>
    </sheetView>
  </sheetViews>
  <sheetFormatPr defaultRowHeight="14.5" x14ac:dyDescent="0.35"/>
  <cols>
    <col min="1" max="1" width="10.08984375" customWidth="1"/>
    <col min="2" max="2" width="16.90625" customWidth="1"/>
    <col min="5" max="5" width="11.453125" customWidth="1"/>
    <col min="6" max="6" width="18.90625" customWidth="1"/>
    <col min="7" max="7" width="21.81640625" customWidth="1"/>
  </cols>
  <sheetData>
    <row r="1" spans="1:7" x14ac:dyDescent="0.35">
      <c r="A1" s="1" t="s">
        <v>0</v>
      </c>
      <c r="B1" s="2"/>
    </row>
    <row r="2" spans="1:7" x14ac:dyDescent="0.35">
      <c r="A2" s="7" t="s">
        <v>1</v>
      </c>
      <c r="B2" s="8" t="s">
        <v>2</v>
      </c>
    </row>
    <row r="3" spans="1:7" x14ac:dyDescent="0.35">
      <c r="A3" s="3">
        <v>212</v>
      </c>
      <c r="B3" s="4" t="s">
        <v>3</v>
      </c>
    </row>
    <row r="4" spans="1:7" x14ac:dyDescent="0.35">
      <c r="A4" s="3">
        <v>213</v>
      </c>
      <c r="B4" s="4" t="s">
        <v>4</v>
      </c>
    </row>
    <row r="5" spans="1:7" ht="16" x14ac:dyDescent="0.4">
      <c r="A5" s="3">
        <v>413</v>
      </c>
      <c r="B5" s="4" t="s">
        <v>5</v>
      </c>
      <c r="E5" s="9" t="s">
        <v>11</v>
      </c>
      <c r="F5" s="10" t="s">
        <v>12</v>
      </c>
      <c r="G5" s="11" t="s">
        <v>13</v>
      </c>
    </row>
    <row r="6" spans="1:7" ht="16" x14ac:dyDescent="0.4">
      <c r="A6" s="3">
        <v>313</v>
      </c>
      <c r="B6" s="4" t="s">
        <v>6</v>
      </c>
      <c r="E6" s="12" t="s">
        <v>14</v>
      </c>
      <c r="F6" s="13" t="s">
        <v>15</v>
      </c>
      <c r="G6" s="14" t="s">
        <v>16</v>
      </c>
    </row>
    <row r="7" spans="1:7" ht="16" x14ac:dyDescent="0.4">
      <c r="A7" s="3">
        <v>312</v>
      </c>
      <c r="B7" s="4" t="s">
        <v>7</v>
      </c>
      <c r="E7" s="12" t="s">
        <v>19</v>
      </c>
      <c r="F7" s="13" t="s">
        <v>18</v>
      </c>
      <c r="G7" s="14" t="s">
        <v>17</v>
      </c>
    </row>
    <row r="8" spans="1:7" ht="16" x14ac:dyDescent="0.4">
      <c r="A8" s="5">
        <v>202</v>
      </c>
      <c r="B8" s="6" t="s">
        <v>8</v>
      </c>
      <c r="E8" s="12" t="s">
        <v>20</v>
      </c>
      <c r="F8" s="13" t="s">
        <v>21</v>
      </c>
      <c r="G8" s="14" t="s">
        <v>22</v>
      </c>
    </row>
    <row r="9" spans="1:7" ht="16" x14ac:dyDescent="0.4">
      <c r="E9" s="12" t="s">
        <v>32</v>
      </c>
      <c r="F9" s="13" t="s">
        <v>24</v>
      </c>
      <c r="G9" s="14" t="s">
        <v>23</v>
      </c>
    </row>
    <row r="10" spans="1:7" ht="16" x14ac:dyDescent="0.4">
      <c r="A10" t="s">
        <v>9</v>
      </c>
      <c r="E10" s="12" t="s">
        <v>25</v>
      </c>
      <c r="F10" s="13" t="s">
        <v>26</v>
      </c>
      <c r="G10" s="14" t="s">
        <v>27</v>
      </c>
    </row>
    <row r="11" spans="1:7" ht="16" x14ac:dyDescent="0.4">
      <c r="A11">
        <f>_xlfn.XLOOKUP(B11,B3:B8,A3:A8)</f>
        <v>413</v>
      </c>
      <c r="B11" s="4" t="s">
        <v>5</v>
      </c>
      <c r="E11" s="12" t="s">
        <v>29</v>
      </c>
      <c r="F11" s="13" t="s">
        <v>28</v>
      </c>
      <c r="G11" s="14" t="s">
        <v>17</v>
      </c>
    </row>
    <row r="12" spans="1:7" ht="16" x14ac:dyDescent="0.4">
      <c r="A12" t="s">
        <v>10</v>
      </c>
      <c r="E12" s="15" t="s">
        <v>30</v>
      </c>
      <c r="F12" s="16" t="s">
        <v>31</v>
      </c>
      <c r="G12" s="17" t="s">
        <v>22</v>
      </c>
    </row>
    <row r="13" spans="1:7" x14ac:dyDescent="0.35">
      <c r="A13" t="str">
        <f>_xlfn.XLOOKUP(A5,A3:A8,B3:B8,)</f>
        <v xml:space="preserve"> boston</v>
      </c>
      <c r="B13">
        <v>413</v>
      </c>
    </row>
    <row r="15" spans="1:7" x14ac:dyDescent="0.35">
      <c r="E15" s="18" t="s">
        <v>33</v>
      </c>
      <c r="F15" s="18" t="s">
        <v>35</v>
      </c>
    </row>
    <row r="16" spans="1:7" x14ac:dyDescent="0.35">
      <c r="E16" s="18" t="s">
        <v>34</v>
      </c>
      <c r="F16" t="str">
        <f>_xlfn.XLOOKUP(E16,E6:E12,G6:G12,,0,-1)</f>
        <v>yellow</v>
      </c>
      <c r="G16" t="s">
        <v>37</v>
      </c>
    </row>
    <row r="17" spans="6:7" x14ac:dyDescent="0.35">
      <c r="F17" t="str">
        <f>_xlfn.XLOOKUP(E6,E6:E12,G6:G12)</f>
        <v>blue</v>
      </c>
      <c r="G17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F038F-3F8E-4E77-8E31-5E3EC4E47967}">
  <dimension ref="A1:I14"/>
  <sheetViews>
    <sheetView zoomScale="117" zoomScaleNormal="100" workbookViewId="0">
      <selection activeCell="I11" sqref="I11"/>
    </sheetView>
  </sheetViews>
  <sheetFormatPr defaultRowHeight="14.5" x14ac:dyDescent="0.35"/>
  <cols>
    <col min="2" max="2" width="12.1796875" customWidth="1"/>
    <col min="3" max="3" width="10.90625" customWidth="1"/>
    <col min="4" max="4" width="16" customWidth="1"/>
    <col min="5" max="5" width="10.54296875" customWidth="1"/>
    <col min="6" max="6" width="11" customWidth="1"/>
  </cols>
  <sheetData>
    <row r="1" spans="1:9" x14ac:dyDescent="0.35">
      <c r="A1" s="34" t="s">
        <v>77</v>
      </c>
    </row>
    <row r="3" spans="1:9" x14ac:dyDescent="0.35">
      <c r="B3" t="s">
        <v>56</v>
      </c>
    </row>
    <row r="5" spans="1:9" x14ac:dyDescent="0.35">
      <c r="B5" s="20" t="s">
        <v>38</v>
      </c>
      <c r="C5" s="20" t="s">
        <v>39</v>
      </c>
      <c r="D5" s="20" t="s">
        <v>40</v>
      </c>
      <c r="E5" s="20" t="s">
        <v>41</v>
      </c>
      <c r="F5" s="20" t="s">
        <v>42</v>
      </c>
    </row>
    <row r="6" spans="1:9" x14ac:dyDescent="0.35">
      <c r="B6" s="19" t="s">
        <v>43</v>
      </c>
      <c r="C6" s="19" t="s">
        <v>44</v>
      </c>
      <c r="D6" s="19">
        <v>3343453</v>
      </c>
      <c r="E6" s="19" t="s">
        <v>45</v>
      </c>
      <c r="F6" s="19">
        <v>2013</v>
      </c>
      <c r="I6" s="19"/>
    </row>
    <row r="7" spans="1:9" x14ac:dyDescent="0.35">
      <c r="B7" s="19" t="s">
        <v>48</v>
      </c>
      <c r="C7" s="19" t="s">
        <v>47</v>
      </c>
      <c r="D7" s="19">
        <v>5535334</v>
      </c>
      <c r="E7" s="19" t="s">
        <v>46</v>
      </c>
      <c r="F7" s="19">
        <v>2015</v>
      </c>
    </row>
    <row r="8" spans="1:9" x14ac:dyDescent="0.35">
      <c r="B8" s="19" t="s">
        <v>49</v>
      </c>
      <c r="C8" s="19" t="s">
        <v>50</v>
      </c>
      <c r="D8" s="19">
        <v>6474574</v>
      </c>
      <c r="E8" s="19" t="s">
        <v>45</v>
      </c>
      <c r="F8" s="19">
        <v>2012</v>
      </c>
    </row>
    <row r="9" spans="1:9" x14ac:dyDescent="0.35">
      <c r="B9" s="19" t="s">
        <v>52</v>
      </c>
      <c r="C9" s="19" t="s">
        <v>51</v>
      </c>
      <c r="D9" s="19">
        <v>5544667</v>
      </c>
      <c r="E9" s="19" t="s">
        <v>23</v>
      </c>
      <c r="F9" s="19">
        <v>2014</v>
      </c>
    </row>
    <row r="10" spans="1:9" x14ac:dyDescent="0.35">
      <c r="B10" s="19" t="s">
        <v>53</v>
      </c>
      <c r="C10" s="19" t="s">
        <v>54</v>
      </c>
      <c r="D10" s="19">
        <v>4356434</v>
      </c>
      <c r="E10" s="19" t="s">
        <v>55</v>
      </c>
      <c r="F10" s="19">
        <v>2015</v>
      </c>
    </row>
    <row r="12" spans="1:9" ht="15" thickBot="1" x14ac:dyDescent="0.4">
      <c r="D12" s="19">
        <v>6474574</v>
      </c>
    </row>
    <row r="13" spans="1:9" x14ac:dyDescent="0.35">
      <c r="B13" s="21" t="s">
        <v>38</v>
      </c>
      <c r="C13" s="22" t="s">
        <v>39</v>
      </c>
      <c r="D13" s="22" t="s">
        <v>40</v>
      </c>
      <c r="E13" s="22" t="s">
        <v>41</v>
      </c>
      <c r="F13" s="23" t="s">
        <v>42</v>
      </c>
    </row>
    <row r="14" spans="1:9" ht="15" thickBot="1" x14ac:dyDescent="0.4">
      <c r="B14" s="24" t="str" cm="1">
        <f t="array" ref="B14:F14">_xlfn.XLOOKUP(D12,D6:D10,B6:F10,"Not Available")</f>
        <v>Subaru</v>
      </c>
      <c r="C14" s="25" t="str">
        <v>Impreza</v>
      </c>
      <c r="D14" s="25">
        <v>6474574</v>
      </c>
      <c r="E14" s="25" t="str">
        <v>Red</v>
      </c>
      <c r="F14" s="26">
        <v>2012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B362-838F-4354-B283-C66B38564A8E}">
  <dimension ref="A1:G16"/>
  <sheetViews>
    <sheetView workbookViewId="0">
      <selection activeCell="D15" sqref="D15"/>
    </sheetView>
  </sheetViews>
  <sheetFormatPr defaultRowHeight="14.5" x14ac:dyDescent="0.35"/>
  <cols>
    <col min="1" max="1" width="11.1796875" customWidth="1"/>
    <col min="3" max="3" width="18.26953125" customWidth="1"/>
    <col min="4" max="4" width="17.26953125" customWidth="1"/>
    <col min="5" max="5" width="17.1796875" customWidth="1"/>
    <col min="6" max="6" width="13.36328125" customWidth="1"/>
    <col min="7" max="7" width="14.1796875" customWidth="1"/>
  </cols>
  <sheetData>
    <row r="1" spans="1:7" x14ac:dyDescent="0.35">
      <c r="A1" s="33" t="s">
        <v>76</v>
      </c>
    </row>
    <row r="3" spans="1:7" x14ac:dyDescent="0.35">
      <c r="C3" s="29" t="s">
        <v>65</v>
      </c>
      <c r="D3" s="29"/>
    </row>
    <row r="5" spans="1:7" x14ac:dyDescent="0.35">
      <c r="C5" s="28" t="s">
        <v>57</v>
      </c>
      <c r="D5" s="28" t="s">
        <v>58</v>
      </c>
      <c r="E5" s="28" t="s">
        <v>59</v>
      </c>
      <c r="F5" s="28" t="s">
        <v>60</v>
      </c>
      <c r="G5" s="28" t="s">
        <v>61</v>
      </c>
    </row>
    <row r="6" spans="1:7" x14ac:dyDescent="0.35">
      <c r="C6" s="19" t="s">
        <v>62</v>
      </c>
      <c r="D6" s="27">
        <v>174310</v>
      </c>
      <c r="E6" s="27">
        <v>139722</v>
      </c>
      <c r="F6" s="27">
        <v>154988</v>
      </c>
      <c r="G6" s="27">
        <v>181816</v>
      </c>
    </row>
    <row r="7" spans="1:7" x14ac:dyDescent="0.35">
      <c r="C7" s="19" t="s">
        <v>63</v>
      </c>
      <c r="D7" s="27">
        <v>112921</v>
      </c>
      <c r="E7" s="27">
        <v>112466</v>
      </c>
      <c r="F7" s="27">
        <v>113796</v>
      </c>
      <c r="G7" s="27">
        <v>101873</v>
      </c>
    </row>
    <row r="8" spans="1:7" x14ac:dyDescent="0.35">
      <c r="C8" s="19" t="s">
        <v>64</v>
      </c>
      <c r="D8" s="27">
        <v>61389</v>
      </c>
      <c r="E8" s="27">
        <v>27256</v>
      </c>
      <c r="F8" s="27">
        <v>41192</v>
      </c>
      <c r="G8" s="27">
        <v>79943</v>
      </c>
    </row>
    <row r="10" spans="1:7" x14ac:dyDescent="0.35">
      <c r="C10" s="29" t="s">
        <v>66</v>
      </c>
    </row>
    <row r="11" spans="1:7" x14ac:dyDescent="0.35">
      <c r="C11" t="s">
        <v>78</v>
      </c>
      <c r="D11">
        <f>_xlfn.XLOOKUP(C11,D5:G5,D8:G8)</f>
        <v>41192</v>
      </c>
    </row>
    <row r="13" spans="1:7" x14ac:dyDescent="0.35">
      <c r="C13" s="29" t="s">
        <v>67</v>
      </c>
    </row>
    <row r="14" spans="1:7" x14ac:dyDescent="0.35">
      <c r="C14" t="s">
        <v>68</v>
      </c>
      <c r="D14" cm="1">
        <f t="array" ref="D14:D16">_xlfn.XLOOKUP(C14,D5:G5,D6:G8)</f>
        <v>139722</v>
      </c>
    </row>
    <row r="15" spans="1:7" x14ac:dyDescent="0.35">
      <c r="D15">
        <v>112466</v>
      </c>
    </row>
    <row r="16" spans="1:7" x14ac:dyDescent="0.35">
      <c r="D16">
        <v>27256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31DA8-B6DC-4BC6-881B-E1C78782A5DA}">
  <dimension ref="C5:E15"/>
  <sheetViews>
    <sheetView tabSelected="1" workbookViewId="0">
      <selection activeCell="D15" sqref="D15"/>
    </sheetView>
  </sheetViews>
  <sheetFormatPr defaultRowHeight="14.5" x14ac:dyDescent="0.35"/>
  <cols>
    <col min="3" max="3" width="29.90625" customWidth="1"/>
    <col min="4" max="4" width="18.26953125" customWidth="1"/>
  </cols>
  <sheetData>
    <row r="5" spans="3:5" x14ac:dyDescent="0.35">
      <c r="C5" s="32" t="s">
        <v>69</v>
      </c>
      <c r="D5" s="32" t="s">
        <v>70</v>
      </c>
    </row>
    <row r="6" spans="3:5" x14ac:dyDescent="0.35">
      <c r="C6" s="31">
        <v>43831</v>
      </c>
      <c r="D6" s="19">
        <v>105</v>
      </c>
    </row>
    <row r="7" spans="3:5" x14ac:dyDescent="0.35">
      <c r="C7" s="31">
        <v>43862</v>
      </c>
      <c r="D7" s="19">
        <v>104</v>
      </c>
    </row>
    <row r="8" spans="3:5" x14ac:dyDescent="0.35">
      <c r="C8" s="31">
        <v>43891</v>
      </c>
      <c r="D8" s="19">
        <v>106</v>
      </c>
    </row>
    <row r="9" spans="3:5" x14ac:dyDescent="0.35">
      <c r="C9" s="31">
        <v>43952</v>
      </c>
      <c r="D9" s="19">
        <v>107</v>
      </c>
    </row>
    <row r="10" spans="3:5" x14ac:dyDescent="0.35">
      <c r="C10" s="31">
        <v>43983</v>
      </c>
      <c r="D10" s="19">
        <v>103</v>
      </c>
    </row>
    <row r="11" spans="3:5" x14ac:dyDescent="0.35">
      <c r="C11" s="31">
        <v>44013</v>
      </c>
      <c r="D11" s="19">
        <v>102</v>
      </c>
    </row>
    <row r="13" spans="3:5" x14ac:dyDescent="0.35">
      <c r="C13" t="s">
        <v>71</v>
      </c>
      <c r="D13" s="30">
        <v>43922</v>
      </c>
    </row>
    <row r="14" spans="3:5" x14ac:dyDescent="0.35">
      <c r="C14" t="s">
        <v>72</v>
      </c>
      <c r="D14">
        <f>_xlfn.XLOOKUP(D13,C6:C11,D6:D11,,-1)</f>
        <v>106</v>
      </c>
      <c r="E14" t="s">
        <v>74</v>
      </c>
    </row>
    <row r="15" spans="3:5" x14ac:dyDescent="0.35">
      <c r="C15" t="s">
        <v>73</v>
      </c>
      <c r="D15">
        <f>_xlfn.XLOOKUP(D13,C6:C11,D6:D11,,1)</f>
        <v>107</v>
      </c>
      <c r="E15" t="s"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Asif Asi</dc:creator>
  <cp:lastModifiedBy>Asif Asi</cp:lastModifiedBy>
  <dcterms:created xsi:type="dcterms:W3CDTF">2025-02-20T07:00:24Z</dcterms:created>
  <dcterms:modified xsi:type="dcterms:W3CDTF">2025-03-27T12:01:07Z</dcterms:modified>
</cp:coreProperties>
</file>