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96508c966fcdfe/Desktop/EXCEL/"/>
    </mc:Choice>
  </mc:AlternateContent>
  <xr:revisionPtr revIDLastSave="113" documentId="8_{D6E4C4C2-D267-4E4F-B149-C373756B360C}" xr6:coauthVersionLast="47" xr6:coauthVersionMax="47" xr10:uidLastSave="{02526F93-2EAA-453F-881D-87DCC62A8916}"/>
  <bookViews>
    <workbookView xWindow="-108" yWindow="-108" windowWidth="23256" windowHeight="12456" activeTab="3" xr2:uid="{7384B31E-43DB-4CA2-BF61-4E90A23A02B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 a="1"/>
  <c r="J12" i="4" s="1"/>
  <c r="C20" i="3"/>
  <c r="C19" i="3"/>
  <c r="C15" i="2"/>
  <c r="B19" i="1" a="1"/>
  <c r="B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<sst xmlns="http://schemas.openxmlformats.org/spreadsheetml/2006/main" count="124" uniqueCount="110">
  <si>
    <t>Car</t>
  </si>
  <si>
    <t>Toyota</t>
  </si>
  <si>
    <t>Nissan</t>
  </si>
  <si>
    <t>Subaru</t>
  </si>
  <si>
    <t>Mercedes</t>
  </si>
  <si>
    <t>Honda</t>
  </si>
  <si>
    <t>Type</t>
  </si>
  <si>
    <t>Corola</t>
  </si>
  <si>
    <t>X Trail</t>
  </si>
  <si>
    <t>Impreza</t>
  </si>
  <si>
    <t>S 600</t>
  </si>
  <si>
    <t>Civic</t>
  </si>
  <si>
    <t>Plate Number</t>
  </si>
  <si>
    <t>color</t>
  </si>
  <si>
    <t>Red</t>
  </si>
  <si>
    <t>Black</t>
  </si>
  <si>
    <t>Yellow</t>
  </si>
  <si>
    <t>Blue</t>
  </si>
  <si>
    <t>Model Year</t>
  </si>
  <si>
    <t>plate numbr;</t>
  </si>
  <si>
    <t>#xlookup</t>
  </si>
  <si>
    <t>Return all car details for the car with plate number 3343453?</t>
  </si>
  <si>
    <t>Quarter</t>
  </si>
  <si>
    <t>Revanue</t>
  </si>
  <si>
    <t>Cost of Sales</t>
  </si>
  <si>
    <t>Gross Profit</t>
  </si>
  <si>
    <t>Q1</t>
  </si>
  <si>
    <t>Q2</t>
  </si>
  <si>
    <t>Q3</t>
  </si>
  <si>
    <t>Q4</t>
  </si>
  <si>
    <t>Use XLOOKUP to return the gross profit for Q2?</t>
  </si>
  <si>
    <t>&lt;-insert formula here</t>
  </si>
  <si>
    <t>Return the stock price for the day before and after january 4th 2020</t>
  </si>
  <si>
    <t>Date</t>
  </si>
  <si>
    <t>Stock Price</t>
  </si>
  <si>
    <t>price daty before</t>
  </si>
  <si>
    <t>price day after</t>
  </si>
  <si>
    <t>&lt;-inset formula here</t>
  </si>
  <si>
    <t>Product</t>
  </si>
  <si>
    <t xml:space="preserve">Q1 </t>
  </si>
  <si>
    <t xml:space="preserve"> Q2 </t>
  </si>
  <si>
    <t xml:space="preserve"> Q3 </t>
  </si>
  <si>
    <t xml:space="preserve"> Q4 </t>
  </si>
  <si>
    <t>Amaretto</t>
  </si>
  <si>
    <t>$      1,489</t>
  </si>
  <si>
    <t>$      1,077</t>
  </si>
  <si>
    <t>$          972</t>
  </si>
  <si>
    <t>$      1,352</t>
  </si>
  <si>
    <t>Caffe Latte</t>
  </si>
  <si>
    <t>$      2,893</t>
  </si>
  <si>
    <t>$      2,972</t>
  </si>
  <si>
    <t>$      2,794</t>
  </si>
  <si>
    <t>$      2,716</t>
  </si>
  <si>
    <t>Caffe Mocha</t>
  </si>
  <si>
    <t>$      4,253</t>
  </si>
  <si>
    <t>$      4,188</t>
  </si>
  <si>
    <t>$      4,550</t>
  </si>
  <si>
    <t>$      4,687</t>
  </si>
  <si>
    <t>Chamomile</t>
  </si>
  <si>
    <t>$      6,761</t>
  </si>
  <si>
    <t>$      6,573</t>
  </si>
  <si>
    <t>$      6,891</t>
  </si>
  <si>
    <t>$      7,006</t>
  </si>
  <si>
    <t>Colombian</t>
  </si>
  <si>
    <t>$    12,786</t>
  </si>
  <si>
    <t>$    14,211</t>
  </si>
  <si>
    <t>$    15,875</t>
  </si>
  <si>
    <t>$    12,932</t>
  </si>
  <si>
    <t>Darjeeling</t>
  </si>
  <si>
    <t>$      7,119</t>
  </si>
  <si>
    <t>$      7,235</t>
  </si>
  <si>
    <t>$      7,723</t>
  </si>
  <si>
    <t>$      6,976</t>
  </si>
  <si>
    <t>Decaf Espresso</t>
  </si>
  <si>
    <t>$      7,431</t>
  </si>
  <si>
    <t>$      7,435</t>
  </si>
  <si>
    <t>$      7,597</t>
  </si>
  <si>
    <t>$      7,039</t>
  </si>
  <si>
    <t>Decaf Irish Cream</t>
  </si>
  <si>
    <t>$      3,406</t>
  </si>
  <si>
    <t>$      3,701</t>
  </si>
  <si>
    <t>$      3,681</t>
  </si>
  <si>
    <t>$      3,201</t>
  </si>
  <si>
    <t>Earl Grey</t>
  </si>
  <si>
    <t>$      5,727</t>
  </si>
  <si>
    <t>$      6,083</t>
  </si>
  <si>
    <t>$      6,379</t>
  </si>
  <si>
    <t>$      5,975</t>
  </si>
  <si>
    <t>Green Tea</t>
  </si>
  <si>
    <t>$        (117)</t>
  </si>
  <si>
    <t>$             (8)</t>
  </si>
  <si>
    <t>$        (195)</t>
  </si>
  <si>
    <t>$            89</t>
  </si>
  <si>
    <t>Lemon</t>
  </si>
  <si>
    <t>$      6,380</t>
  </si>
  <si>
    <t>$      7,799</t>
  </si>
  <si>
    <t>$      8,076</t>
  </si>
  <si>
    <t>$      7,614</t>
  </si>
  <si>
    <t>Mint</t>
  </si>
  <si>
    <t>$      1,728</t>
  </si>
  <si>
    <t>$      1,969</t>
  </si>
  <si>
    <t>$      1,171</t>
  </si>
  <si>
    <t>$      1,286</t>
  </si>
  <si>
    <t>Regular Espresso</t>
  </si>
  <si>
    <t>$      2,277</t>
  </si>
  <si>
    <t>$      2,382</t>
  </si>
  <si>
    <t>$      1,968</t>
  </si>
  <si>
    <t>$      3,438</t>
  </si>
  <si>
    <t>#nested xlookup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</si>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</sst>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/>
    <xf numFmtId="0" fontId="0" fillId="4" borderId="1" xfId="0" applyFill="1" applyBorder="1"/>
    <xf numFmtId="0" fontId="0" fillId="5" borderId="0" xfId="0" applyFill="1"/>
    <xf numFmtId="0" fontId="0" fillId="3" borderId="0" xfId="0" applyFill="1"/>
    <xf numFmtId="14" fontId="0" fillId="0" borderId="1" xfId="0" applyNumberFormat="1" applyBorder="1"/>
    <xf numFmtId="14" fontId="0" fillId="5" borderId="0" xfId="0" applyNumberFormat="1" applyFill="1"/>
    <xf numFmtId="0" fontId="0" fillId="6" borderId="0" xfId="0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0B96-FA2C-454C-8E1F-866C4964DCC2}">
  <dimension ref="B7:I20"/>
  <sheetViews>
    <sheetView workbookViewId="0">
      <selection activeCell="B19" sqref="B19"/>
    </sheetView>
  </sheetViews>
  <sheetFormatPr defaultRowHeight="14.4" x14ac:dyDescent="0.3"/>
  <cols>
    <col min="2" max="2" width="14.33203125" customWidth="1"/>
    <col min="4" max="4" width="15.44140625" customWidth="1"/>
    <col min="5" max="5" width="11.33203125" customWidth="1"/>
  </cols>
  <sheetData>
    <row r="7" spans="2:9" x14ac:dyDescent="0.3">
      <c r="B7" t="s">
        <v>21</v>
      </c>
    </row>
    <row r="8" spans="2:9" x14ac:dyDescent="0.3">
      <c r="B8" s="2" t="s">
        <v>0</v>
      </c>
      <c r="C8" s="2" t="s">
        <v>6</v>
      </c>
      <c r="D8" s="2" t="s">
        <v>12</v>
      </c>
      <c r="E8" s="2" t="s">
        <v>13</v>
      </c>
      <c r="F8" s="2" t="s">
        <v>18</v>
      </c>
    </row>
    <row r="9" spans="2:9" x14ac:dyDescent="0.3">
      <c r="B9" s="1" t="s">
        <v>1</v>
      </c>
      <c r="C9" s="1" t="s">
        <v>7</v>
      </c>
      <c r="D9" s="1">
        <v>3343453</v>
      </c>
      <c r="E9" s="1" t="s">
        <v>14</v>
      </c>
      <c r="F9" s="1">
        <v>2013</v>
      </c>
    </row>
    <row r="10" spans="2:9" x14ac:dyDescent="0.3">
      <c r="B10" s="1" t="s">
        <v>2</v>
      </c>
      <c r="C10" s="1" t="s">
        <v>8</v>
      </c>
      <c r="D10" s="1">
        <v>5535334</v>
      </c>
      <c r="E10" s="1" t="s">
        <v>15</v>
      </c>
      <c r="F10" s="1">
        <v>2015</v>
      </c>
    </row>
    <row r="11" spans="2:9" x14ac:dyDescent="0.3">
      <c r="B11" s="1" t="s">
        <v>3</v>
      </c>
      <c r="C11" s="1" t="s">
        <v>9</v>
      </c>
      <c r="D11" s="1">
        <v>6474574</v>
      </c>
      <c r="E11" s="1" t="s">
        <v>14</v>
      </c>
      <c r="F11" s="1">
        <v>2012</v>
      </c>
    </row>
    <row r="12" spans="2:9" x14ac:dyDescent="0.3">
      <c r="B12" s="1" t="s">
        <v>4</v>
      </c>
      <c r="C12" s="1" t="s">
        <v>10</v>
      </c>
      <c r="D12" s="1">
        <v>5544667</v>
      </c>
      <c r="E12" s="1" t="s">
        <v>16</v>
      </c>
      <c r="F12" s="1">
        <v>2014</v>
      </c>
    </row>
    <row r="13" spans="2:9" x14ac:dyDescent="0.3">
      <c r="B13" s="1" t="s">
        <v>5</v>
      </c>
      <c r="C13" s="1" t="s">
        <v>11</v>
      </c>
      <c r="D13" s="1">
        <v>4356434</v>
      </c>
      <c r="E13" s="1" t="s">
        <v>17</v>
      </c>
      <c r="F13" s="1">
        <v>2015</v>
      </c>
    </row>
    <row r="16" spans="2:9" x14ac:dyDescent="0.3">
      <c r="I16" t="s">
        <v>20</v>
      </c>
    </row>
    <row r="17" spans="2:6" x14ac:dyDescent="0.3">
      <c r="B17" t="s">
        <v>19</v>
      </c>
      <c r="C17">
        <v>3343453</v>
      </c>
    </row>
    <row r="18" spans="2:6" x14ac:dyDescent="0.3">
      <c r="B18" s="2" t="s">
        <v>0</v>
      </c>
      <c r="C18" s="2" t="s">
        <v>6</v>
      </c>
      <c r="D18" s="2" t="s">
        <v>12</v>
      </c>
      <c r="E18" s="2" t="s">
        <v>13</v>
      </c>
      <c r="F18" s="2" t="s">
        <v>18</v>
      </c>
    </row>
    <row r="19" spans="2:6" x14ac:dyDescent="0.3">
      <c r="B19" s="3" t="str" cm="1">
        <f t="array" ref="B19:F19">_xlfn.XLOOKUP(C17,D9:D13,B9:F13,"Not Available",0)</f>
        <v>Toyota</v>
      </c>
      <c r="C19" s="3" t="str">
        <v>Corola</v>
      </c>
      <c r="D19" s="3">
        <v>3343453</v>
      </c>
      <c r="E19" s="3" t="str">
        <v>Red</v>
      </c>
      <c r="F19" s="3">
        <v>2013</v>
      </c>
    </row>
    <row r="20" spans="2:6" x14ac:dyDescent="0.3">
      <c r="B20" s="1"/>
      <c r="C20" s="1"/>
      <c r="D20" s="1"/>
      <c r="E20" s="1"/>
      <c r="F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4094-C429-4DA0-827F-BEBDE4F670FA}">
  <dimension ref="B5:F15"/>
  <sheetViews>
    <sheetView workbookViewId="0">
      <selection activeCell="C16" sqref="C16"/>
    </sheetView>
  </sheetViews>
  <sheetFormatPr defaultRowHeight="14.4" x14ac:dyDescent="0.3"/>
  <cols>
    <col min="2" max="2" width="19.5546875" customWidth="1"/>
    <col min="3" max="3" width="11.88671875" customWidth="1"/>
    <col min="4" max="4" width="12" customWidth="1"/>
    <col min="5" max="5" width="11.33203125" customWidth="1"/>
    <col min="6" max="6" width="12.21875" customWidth="1"/>
  </cols>
  <sheetData>
    <row r="5" spans="2:6" x14ac:dyDescent="0.3">
      <c r="B5" t="s">
        <v>30</v>
      </c>
    </row>
    <row r="7" spans="2:6" x14ac:dyDescent="0.3">
      <c r="B7" s="5" t="s">
        <v>22</v>
      </c>
      <c r="C7" s="5" t="s">
        <v>26</v>
      </c>
      <c r="D7" s="5" t="s">
        <v>27</v>
      </c>
      <c r="E7" s="5" t="s">
        <v>28</v>
      </c>
      <c r="F7" s="5" t="s">
        <v>29</v>
      </c>
    </row>
    <row r="8" spans="2:6" x14ac:dyDescent="0.3">
      <c r="B8" s="1" t="s">
        <v>23</v>
      </c>
      <c r="C8" s="4">
        <v>174310</v>
      </c>
      <c r="D8" s="4">
        <v>139722</v>
      </c>
      <c r="E8" s="4">
        <v>154988</v>
      </c>
      <c r="F8" s="4">
        <v>181816</v>
      </c>
    </row>
    <row r="9" spans="2:6" x14ac:dyDescent="0.3">
      <c r="B9" s="1" t="s">
        <v>24</v>
      </c>
      <c r="C9" s="4">
        <v>112921</v>
      </c>
      <c r="D9" s="4">
        <v>112466</v>
      </c>
      <c r="E9" s="4">
        <v>113796</v>
      </c>
      <c r="F9" s="4">
        <v>101873</v>
      </c>
    </row>
    <row r="10" spans="2:6" x14ac:dyDescent="0.3">
      <c r="B10" s="1" t="s">
        <v>25</v>
      </c>
      <c r="C10" s="4">
        <v>61389</v>
      </c>
      <c r="D10" s="4">
        <v>27256</v>
      </c>
      <c r="E10" s="4">
        <v>41192</v>
      </c>
      <c r="F10" s="4">
        <v>79943</v>
      </c>
    </row>
    <row r="13" spans="2:6" x14ac:dyDescent="0.3">
      <c r="B13" s="6" t="s">
        <v>25</v>
      </c>
    </row>
    <row r="15" spans="2:6" x14ac:dyDescent="0.3">
      <c r="B15" s="6" t="s">
        <v>26</v>
      </c>
      <c r="C15" s="7">
        <f>_xlfn.XLOOKUP(B15,C7:F7,C10:F10)</f>
        <v>61389</v>
      </c>
      <c r="D1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7193-3F65-404C-BC92-1680C273E70D}">
  <dimension ref="B6:D20"/>
  <sheetViews>
    <sheetView workbookViewId="0">
      <selection activeCell="C20" sqref="C20"/>
    </sheetView>
  </sheetViews>
  <sheetFormatPr defaultRowHeight="14.4" x14ac:dyDescent="0.3"/>
  <cols>
    <col min="2" max="2" width="15.77734375" customWidth="1"/>
    <col min="3" max="3" width="17.44140625" customWidth="1"/>
  </cols>
  <sheetData>
    <row r="6" spans="2:3" x14ac:dyDescent="0.3">
      <c r="B6" t="s">
        <v>32</v>
      </c>
    </row>
    <row r="8" spans="2:3" x14ac:dyDescent="0.3">
      <c r="B8" s="2" t="s">
        <v>33</v>
      </c>
      <c r="C8" s="2" t="s">
        <v>34</v>
      </c>
    </row>
    <row r="9" spans="2:3" x14ac:dyDescent="0.3">
      <c r="B9" s="8">
        <v>43831</v>
      </c>
      <c r="C9" s="1">
        <v>105</v>
      </c>
    </row>
    <row r="10" spans="2:3" x14ac:dyDescent="0.3">
      <c r="B10" s="8">
        <v>43862</v>
      </c>
      <c r="C10" s="1">
        <v>104</v>
      </c>
    </row>
    <row r="11" spans="2:3" x14ac:dyDescent="0.3">
      <c r="B11" s="8">
        <v>43891</v>
      </c>
      <c r="C11" s="1">
        <v>106</v>
      </c>
    </row>
    <row r="12" spans="2:3" x14ac:dyDescent="0.3">
      <c r="B12" s="8">
        <v>43952</v>
      </c>
      <c r="C12" s="1">
        <v>107</v>
      </c>
    </row>
    <row r="13" spans="2:3" x14ac:dyDescent="0.3">
      <c r="B13" s="8">
        <v>43983</v>
      </c>
      <c r="C13" s="1">
        <v>103</v>
      </c>
    </row>
    <row r="14" spans="2:3" x14ac:dyDescent="0.3">
      <c r="B14" s="8">
        <v>44013</v>
      </c>
      <c r="C14" s="1">
        <v>102</v>
      </c>
    </row>
    <row r="17" spans="2:4" x14ac:dyDescent="0.3">
      <c r="B17" s="6" t="s">
        <v>33</v>
      </c>
      <c r="C17" s="9">
        <v>43922</v>
      </c>
    </row>
    <row r="19" spans="2:4" x14ac:dyDescent="0.3">
      <c r="B19" t="s">
        <v>35</v>
      </c>
      <c r="C19" s="10">
        <f>_xlfn.XLOOKUP(C17,B9:B14,C9:C14,,-1)</f>
        <v>106</v>
      </c>
      <c r="D19" t="s">
        <v>37</v>
      </c>
    </row>
    <row r="20" spans="2:4" x14ac:dyDescent="0.3">
      <c r="B20" t="s">
        <v>36</v>
      </c>
      <c r="C20" s="10">
        <f>_xlfn.XLOOKUP(C17,B9:B14,C9:C14,,1)</f>
        <v>107</v>
      </c>
      <c r="D2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7D43-14A3-4A93-9D2F-C7B8B7A184A8}">
  <dimension ref="B3:J17"/>
  <sheetViews>
    <sheetView tabSelected="1" workbookViewId="0">
      <selection activeCell="J13" sqref="J13"/>
    </sheetView>
  </sheetViews>
  <sheetFormatPr defaultRowHeight="14.4" x14ac:dyDescent="0.3"/>
  <cols>
    <col min="9" max="9" width="14.6640625" customWidth="1"/>
    <col min="10" max="10" width="16.109375" customWidth="1"/>
  </cols>
  <sheetData>
    <row r="3" spans="2:10" x14ac:dyDescent="0.3">
      <c r="I3" t="s">
        <v>108</v>
      </c>
    </row>
    <row r="4" spans="2:10" x14ac:dyDescent="0.3"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</row>
    <row r="5" spans="2:10" x14ac:dyDescent="0.3"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</row>
    <row r="6" spans="2:10" x14ac:dyDescent="0.3"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</row>
    <row r="7" spans="2:10" x14ac:dyDescent="0.3"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</row>
    <row r="8" spans="2:10" x14ac:dyDescent="0.3"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</row>
    <row r="9" spans="2:10" x14ac:dyDescent="0.3"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</row>
    <row r="10" spans="2:10" x14ac:dyDescent="0.3"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I10" s="11" t="s">
        <v>38</v>
      </c>
      <c r="J10" s="11" t="s">
        <v>73</v>
      </c>
    </row>
    <row r="11" spans="2:10" x14ac:dyDescent="0.3"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I11" s="11" t="s">
        <v>22</v>
      </c>
      <c r="J11" s="11" t="s">
        <v>39</v>
      </c>
    </row>
    <row r="12" spans="2:10" x14ac:dyDescent="0.3"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I12" s="3" t="s">
        <v>109</v>
      </c>
      <c r="J12" s="3" t="str" cm="1">
        <f t="array" ref="J12">_xlfn.XLOOKUP(J10,B5:B17,_xlfn.XLOOKUP(J11,C4:F4,C5:F17))</f>
        <v>$      7,431</v>
      </c>
    </row>
    <row r="13" spans="2:10" x14ac:dyDescent="0.3"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</row>
    <row r="14" spans="2:10" x14ac:dyDescent="0.3"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</row>
    <row r="15" spans="2:10" x14ac:dyDescent="0.3"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</row>
    <row r="16" spans="2:10" x14ac:dyDescent="0.3"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</row>
    <row r="17" spans="2:6" x14ac:dyDescent="0.3"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Prakash M T</dc:creator>
  <cp:lastModifiedBy>Abhin Prakash M T</cp:lastModifiedBy>
  <dcterms:created xsi:type="dcterms:W3CDTF">2025-02-21T06:01:59Z</dcterms:created>
  <dcterms:modified xsi:type="dcterms:W3CDTF">2025-02-21T06:57:50Z</dcterms:modified>
</cp:coreProperties>
</file>