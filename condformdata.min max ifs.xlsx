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d.docs.live.net/7f66ebc8a9c01533/Desktop/Excel/"/>
    </mc:Choice>
  </mc:AlternateContent>
  <xr:revisionPtr revIDLastSave="16" documentId="8_{7283D989-1F38-4BB0-8891-2E979BBBD2EE}" xr6:coauthVersionLast="47" xr6:coauthVersionMax="47" xr10:uidLastSave="{92492121-C778-457F-94BF-B75D5C3039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" i="1" l="1"/>
  <c r="H15" i="1"/>
  <c r="I12" i="1"/>
  <c r="H12" i="1"/>
  <c r="G12" i="1"/>
  <c r="L7" i="1"/>
  <c r="K7" i="1"/>
  <c r="J7" i="1"/>
  <c r="I7" i="1"/>
  <c r="H7" i="1"/>
  <c r="G7" i="1"/>
  <c r="H8" i="1"/>
  <c r="K8" i="1"/>
  <c r="D18" i="1"/>
</calcChain>
</file>

<file path=xl/sharedStrings.xml><?xml version="1.0" encoding="utf-8"?>
<sst xmlns="http://schemas.openxmlformats.org/spreadsheetml/2006/main" count="64" uniqueCount="37">
  <si>
    <t>Date</t>
  </si>
  <si>
    <t>Category</t>
  </si>
  <si>
    <t>sub-category</t>
  </si>
  <si>
    <t>Amount</t>
  </si>
  <si>
    <t>Payment mode</t>
  </si>
  <si>
    <t>Bills</t>
  </si>
  <si>
    <t>Cylinder</t>
  </si>
  <si>
    <t>Cash</t>
  </si>
  <si>
    <t>Mobile</t>
  </si>
  <si>
    <t>UPI</t>
  </si>
  <si>
    <t>House Rent</t>
  </si>
  <si>
    <t>Clothes</t>
  </si>
  <si>
    <t>Dress</t>
  </si>
  <si>
    <t>Card</t>
  </si>
  <si>
    <t>Essentials</t>
  </si>
  <si>
    <t>Food oil</t>
  </si>
  <si>
    <t>Diary</t>
  </si>
  <si>
    <t>Shampoo</t>
  </si>
  <si>
    <t>Food</t>
  </si>
  <si>
    <t>Chai</t>
  </si>
  <si>
    <t>Grocery</t>
  </si>
  <si>
    <t>Chocolate</t>
  </si>
  <si>
    <t>Zomato</t>
  </si>
  <si>
    <t>Restaurant</t>
  </si>
  <si>
    <t>Milk</t>
  </si>
  <si>
    <t>Fruits and veggies</t>
  </si>
  <si>
    <t>sum</t>
  </si>
  <si>
    <t>sum if</t>
  </si>
  <si>
    <t>sumifs</t>
  </si>
  <si>
    <t>count</t>
  </si>
  <si>
    <t>countif</t>
  </si>
  <si>
    <t>countifs</t>
  </si>
  <si>
    <t>avg</t>
  </si>
  <si>
    <t>avg if</t>
  </si>
  <si>
    <t>avgifs</t>
  </si>
  <si>
    <t xml:space="preserve"> max ifs cash</t>
  </si>
  <si>
    <t>min ifs - bills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</si>
</sst>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14" fontId="0" fillId="0" borderId="0" xfId="0" applyNumberFormat="1"/>
    <xf numFmtId="164" fontId="0" fillId="2" borderId="0" xfId="0" applyNumberFormat="1" applyFill="1"/>
    <xf numFmtId="164" fontId="0" fillId="0" borderId="0" xfId="0" applyNumberFormat="1"/>
    <xf numFmtId="0" fontId="0" fillId="3" borderId="1" xfId="0" applyFill="1" applyBorder="1"/>
    <xf numFmtId="164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numFmt numFmtId="164" formatCode="&quot;₹&quot;\ #,##0.00"/>
    </dxf>
    <dxf>
      <numFmt numFmtId="19" formatCode="dd/mm/yyyy"/>
    </dxf>
    <dxf>
      <numFmt numFmtId="19" formatCode="dd/mm/yyyy"/>
    </dxf>
    <dxf>
      <border outline="0">
        <bottom style="thin">
          <color indexed="64"/>
        </bottom>
      </border>
    </dxf>
    <dxf>
      <fill>
        <patternFill patternType="solid">
          <fgColor indexed="64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" displayName="Sales" ref="A1:E18" totalsRowCount="1" headerRowDxfId="5" tableBorderDxfId="4">
  <autoFilter ref="A1:E17" xr:uid="{00000000-0009-0000-0100-000001000000}"/>
  <tableColumns count="5">
    <tableColumn id="1" xr3:uid="{00000000-0010-0000-0000-000001000000}" name="Date" dataDxfId="3" totalsRowDxfId="2"/>
    <tableColumn id="2" xr3:uid="{00000000-0010-0000-0000-000002000000}" name="Category"/>
    <tableColumn id="3" xr3:uid="{00000000-0010-0000-0000-000003000000}" name="sub-category"/>
    <tableColumn id="4" xr3:uid="{00000000-0010-0000-0000-000004000000}" name="Amount" totalsRowFunction="average" dataDxfId="1"/>
    <tableColumn id="5" xr3:uid="{00000000-0010-0000-0000-000005000000}" name="Payment mode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"/>
  <sheetViews>
    <sheetView tabSelected="1" workbookViewId="0">
      <selection activeCell="G16" sqref="G16"/>
    </sheetView>
  </sheetViews>
  <sheetFormatPr defaultRowHeight="14.5" x14ac:dyDescent="0.35"/>
  <cols>
    <col min="1" max="1" width="18.81640625" customWidth="1"/>
    <col min="2" max="2" width="16" customWidth="1"/>
    <col min="3" max="3" width="19.7265625" customWidth="1"/>
    <col min="4" max="4" width="15.453125" customWidth="1"/>
    <col min="5" max="5" width="22.1796875" customWidth="1"/>
    <col min="6" max="6" width="15.81640625" customWidth="1"/>
    <col min="7" max="7" width="11.36328125" customWidth="1"/>
    <col min="8" max="8" width="11.08984375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3" t="s">
        <v>3</v>
      </c>
      <c r="E1" s="1" t="s">
        <v>4</v>
      </c>
    </row>
    <row r="2" spans="1:12" x14ac:dyDescent="0.35">
      <c r="A2" s="2">
        <v>45665</v>
      </c>
      <c r="B2" t="s">
        <v>5</v>
      </c>
      <c r="C2" t="s">
        <v>6</v>
      </c>
      <c r="D2" s="4">
        <v>1074</v>
      </c>
      <c r="E2" t="s">
        <v>7</v>
      </c>
    </row>
    <row r="3" spans="1:12" x14ac:dyDescent="0.35">
      <c r="A3" s="2">
        <v>45666</v>
      </c>
      <c r="B3" t="s">
        <v>5</v>
      </c>
      <c r="C3" t="s">
        <v>8</v>
      </c>
      <c r="D3" s="4">
        <v>1650</v>
      </c>
      <c r="E3" t="s">
        <v>9</v>
      </c>
    </row>
    <row r="4" spans="1:12" x14ac:dyDescent="0.35">
      <c r="A4" s="2">
        <v>45667</v>
      </c>
      <c r="B4" t="s">
        <v>5</v>
      </c>
      <c r="C4" t="s">
        <v>10</v>
      </c>
      <c r="D4" s="4">
        <v>1600</v>
      </c>
      <c r="E4" t="s">
        <v>9</v>
      </c>
    </row>
    <row r="5" spans="1:12" x14ac:dyDescent="0.35">
      <c r="A5" s="2">
        <v>45668</v>
      </c>
      <c r="B5" t="s">
        <v>11</v>
      </c>
      <c r="C5" t="s">
        <v>12</v>
      </c>
      <c r="D5" s="4">
        <v>1000</v>
      </c>
      <c r="E5" t="s">
        <v>13</v>
      </c>
    </row>
    <row r="6" spans="1:12" x14ac:dyDescent="0.35">
      <c r="A6" s="2">
        <v>45669</v>
      </c>
      <c r="B6" t="s">
        <v>11</v>
      </c>
      <c r="C6" t="s">
        <v>12</v>
      </c>
      <c r="D6" s="4">
        <v>1890</v>
      </c>
      <c r="E6" t="s">
        <v>9</v>
      </c>
      <c r="G6" s="5" t="s">
        <v>26</v>
      </c>
      <c r="H6" s="5" t="s">
        <v>27</v>
      </c>
      <c r="I6" s="5" t="s">
        <v>28</v>
      </c>
      <c r="J6" s="5" t="s">
        <v>29</v>
      </c>
      <c r="K6" s="5" t="s">
        <v>30</v>
      </c>
      <c r="L6" s="5" t="s">
        <v>31</v>
      </c>
    </row>
    <row r="7" spans="1:12" x14ac:dyDescent="0.35">
      <c r="A7" s="2">
        <v>45670</v>
      </c>
      <c r="B7" t="s">
        <v>14</v>
      </c>
      <c r="C7" t="s">
        <v>15</v>
      </c>
      <c r="D7" s="4">
        <v>50</v>
      </c>
      <c r="E7" t="s">
        <v>9</v>
      </c>
      <c r="G7" s="6">
        <f>SUM(Sales[Amount])</f>
        <v>10163</v>
      </c>
      <c r="H7" s="7">
        <f>SUMIF(Sales[Payment mode],"upi",Sales[Amount])</f>
        <v>7533</v>
      </c>
      <c r="I7" s="7">
        <f>SUMIFS(Sales[Amount],Sales[Payment mode],"upi",Sales[Category],"food")</f>
        <v>1487</v>
      </c>
      <c r="J7" s="7">
        <f>COUNT(Sales[Amount])</f>
        <v>16</v>
      </c>
      <c r="K7" s="7">
        <f>COUNTIF(Sales[Payment mode],"upi")</f>
        <v>12</v>
      </c>
      <c r="L7" s="7">
        <f>COUNTIFS(Sales[Payment mode],"upi",Sales[Category],"food")</f>
        <v>5</v>
      </c>
    </row>
    <row r="8" spans="1:12" x14ac:dyDescent="0.35">
      <c r="A8" s="2">
        <v>45671</v>
      </c>
      <c r="B8" t="s">
        <v>14</v>
      </c>
      <c r="C8" t="s">
        <v>16</v>
      </c>
      <c r="D8" s="4">
        <v>50</v>
      </c>
      <c r="E8" t="s">
        <v>9</v>
      </c>
      <c r="G8" s="7"/>
      <c r="H8" s="7">
        <f>SUMIF(Sales[Category],"bills",Sales[Amount])</f>
        <v>4324</v>
      </c>
      <c r="I8" s="7"/>
      <c r="J8" s="7"/>
      <c r="K8" s="7">
        <f>COUNTIF(Sales[sub-category],"cylinder")</f>
        <v>1</v>
      </c>
      <c r="L8" s="7"/>
    </row>
    <row r="9" spans="1:12" x14ac:dyDescent="0.35">
      <c r="A9" s="2">
        <v>45672</v>
      </c>
      <c r="B9" t="s">
        <v>14</v>
      </c>
      <c r="C9" t="s">
        <v>17</v>
      </c>
      <c r="D9" s="4">
        <v>780</v>
      </c>
      <c r="E9" t="s">
        <v>9</v>
      </c>
    </row>
    <row r="10" spans="1:12" x14ac:dyDescent="0.35">
      <c r="A10" s="2">
        <v>45673</v>
      </c>
      <c r="B10" t="s">
        <v>18</v>
      </c>
      <c r="C10" t="s">
        <v>19</v>
      </c>
      <c r="D10" s="4">
        <v>10</v>
      </c>
      <c r="E10" t="s">
        <v>9</v>
      </c>
    </row>
    <row r="11" spans="1:12" x14ac:dyDescent="0.35">
      <c r="A11" s="2">
        <v>45674</v>
      </c>
      <c r="B11" t="s">
        <v>18</v>
      </c>
      <c r="C11" t="s">
        <v>20</v>
      </c>
      <c r="D11" s="4">
        <v>30</v>
      </c>
      <c r="E11" t="s">
        <v>9</v>
      </c>
      <c r="G11" s="5" t="s">
        <v>32</v>
      </c>
      <c r="H11" s="5" t="s">
        <v>33</v>
      </c>
      <c r="I11" s="5" t="s">
        <v>34</v>
      </c>
    </row>
    <row r="12" spans="1:12" x14ac:dyDescent="0.35">
      <c r="A12" s="2">
        <v>45675</v>
      </c>
      <c r="B12" t="s">
        <v>18</v>
      </c>
      <c r="C12" t="s">
        <v>21</v>
      </c>
      <c r="D12" s="4">
        <v>100</v>
      </c>
      <c r="E12" t="s">
        <v>7</v>
      </c>
      <c r="G12" s="7">
        <f>AVERAGE(Sales[Amount])</f>
        <v>635.1875</v>
      </c>
      <c r="H12" s="7">
        <f>AVERAGEIF(Sales[Payment mode],"upi",Sales[Amount])</f>
        <v>627.75</v>
      </c>
      <c r="I12" s="7">
        <f>AVERAGEIFS(Sales[Amount],Sales[Payment mode],"upi",Sales[Category],"food")</f>
        <v>297.39999999999998</v>
      </c>
    </row>
    <row r="13" spans="1:12" x14ac:dyDescent="0.35">
      <c r="A13" s="2">
        <v>45676</v>
      </c>
      <c r="B13" t="s">
        <v>18</v>
      </c>
      <c r="C13" t="s">
        <v>22</v>
      </c>
      <c r="D13" s="4">
        <v>257</v>
      </c>
      <c r="E13" t="s">
        <v>9</v>
      </c>
    </row>
    <row r="14" spans="1:12" x14ac:dyDescent="0.35">
      <c r="A14" s="2">
        <v>45677</v>
      </c>
      <c r="B14" t="s">
        <v>18</v>
      </c>
      <c r="C14" t="s">
        <v>22</v>
      </c>
      <c r="D14" s="4">
        <v>300</v>
      </c>
      <c r="E14" t="s">
        <v>9</v>
      </c>
      <c r="G14" s="5" t="s">
        <v>35</v>
      </c>
      <c r="H14" s="5" t="s">
        <v>36</v>
      </c>
    </row>
    <row r="15" spans="1:12" x14ac:dyDescent="0.35">
      <c r="A15" s="2">
        <v>45678</v>
      </c>
      <c r="B15" t="s">
        <v>18</v>
      </c>
      <c r="C15" t="s">
        <v>23</v>
      </c>
      <c r="D15" s="4">
        <v>890</v>
      </c>
      <c r="E15" t="s">
        <v>9</v>
      </c>
      <c r="G15" s="7">
        <f>_xlfn.MAXIFS(D5:D17,E5:E17,"cash")</f>
        <v>456</v>
      </c>
      <c r="H15" s="7">
        <f>_xlfn.MINIFS(Sales[Amount],Sales[Category],"bills")</f>
        <v>1074</v>
      </c>
    </row>
    <row r="16" spans="1:12" x14ac:dyDescent="0.35">
      <c r="A16" s="2">
        <v>45679</v>
      </c>
      <c r="B16" t="s">
        <v>20</v>
      </c>
      <c r="C16" t="s">
        <v>24</v>
      </c>
      <c r="D16" s="4">
        <v>26</v>
      </c>
      <c r="E16" t="s">
        <v>9</v>
      </c>
      <c r="G16" s="4"/>
    </row>
    <row r="17" spans="1:5" x14ac:dyDescent="0.35">
      <c r="A17" s="2">
        <v>45680</v>
      </c>
      <c r="B17" t="s">
        <v>20</v>
      </c>
      <c r="C17" t="s">
        <v>25</v>
      </c>
      <c r="D17" s="4">
        <v>456</v>
      </c>
      <c r="E17" t="s">
        <v>7</v>
      </c>
    </row>
    <row r="18" spans="1:5" x14ac:dyDescent="0.35">
      <c r="A18" s="2"/>
      <c r="D18">
        <f>SUBTOTAL(101,Sales[Amount])</f>
        <v>635.1875</v>
      </c>
    </row>
  </sheetData>
  <conditionalFormatting sqref="C2:C17">
    <cfRule type="colorScale" priority="3">
      <colorScale>
        <cfvo type="min"/>
        <cfvo type="percentile" val="50"/>
        <cfvo type="max"/>
        <color theme="9"/>
        <color rgb="FFFFEB84"/>
        <color rgb="FFC00000"/>
      </colorScale>
    </cfRule>
  </conditionalFormatting>
  <conditionalFormatting sqref="D1">
    <cfRule type="cellIs" dxfId="0" priority="38" operator="lessThan">
      <formula>250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Asif Asi</cp:lastModifiedBy>
  <dcterms:created xsi:type="dcterms:W3CDTF">2024-09-02T09:31:24Z</dcterms:created>
  <dcterms:modified xsi:type="dcterms:W3CDTF">2025-03-19T07:11:44Z</dcterms:modified>
</cp:coreProperties>
</file>